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come Statement" sheetId="2" state="visible" r:id="rId2"/>
    <sheet xmlns:r="http://schemas.openxmlformats.org/officeDocument/2006/relationships" name="Balance Sheet" sheetId="3" state="visible" r:id="rId3"/>
    <sheet xmlns:r="http://schemas.openxmlformats.org/officeDocument/2006/relationships" name="Cash Flow" sheetId="4" state="visible" r:id="rId4"/>
    <sheet xmlns:r="http://schemas.openxmlformats.org/officeDocument/2006/relationships" name="DCF" sheetId="5" state="visible" r:id="rId5"/>
    <sheet xmlns:r="http://schemas.openxmlformats.org/officeDocument/2006/relationships" name="Comps" sheetId="6" state="visible" r:id="rId6"/>
    <sheet xmlns:r="http://schemas.openxmlformats.org/officeDocument/2006/relationships" name="Projec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$#,##0.00"/>
    <numFmt numFmtId="166" formatCode="0.0x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  <font>
      <name val="Calibri"/>
      <b val="1"/>
      <color rgb="001B2A4A"/>
      <sz val="14"/>
    </font>
    <font>
      <name val="Calibri"/>
      <b val="1"/>
      <i val="1"/>
      <sz val="10"/>
    </font>
    <font>
      <name val="Calibri"/>
      <b val="1"/>
      <color rgb="001B2A4A"/>
      <sz val="11"/>
    </font>
    <font>
      <name val="Calibri"/>
      <b val="1"/>
      <sz val="10"/>
      <u val="single"/>
    </font>
    <font>
      <name val="Calibri"/>
      <b val="1"/>
      <color rgb="001B2A4A"/>
      <sz val="10"/>
    </font>
    <font>
      <name val="Calibri"/>
      <i val="1"/>
      <color rgb="00666666"/>
      <sz val="9"/>
    </font>
  </fonts>
  <fills count="6">
    <fill>
      <patternFill/>
    </fill>
    <fill>
      <patternFill patternType="gray125"/>
    </fill>
    <fill>
      <patternFill patternType="solid">
        <fgColor rgb="001B2A4A"/>
        <bgColor rgb="001B2A4A"/>
      </patternFill>
    </fill>
    <fill>
      <patternFill patternType="solid">
        <fgColor rgb="00FFF2CC"/>
        <bgColor rgb="00FFF2CC"/>
      </patternFill>
    </fill>
    <fill>
      <patternFill patternType="solid">
        <fgColor rgb="00E8F0FE"/>
        <bgColor rgb="00E8F0FE"/>
      </patternFill>
    </fill>
    <fill>
      <patternFill patternType="solid">
        <fgColor rgb="00D9E2F3"/>
        <bgColor rgb="00D9E2F3"/>
      </patternFill>
    </fill>
  </fills>
  <borders count="4">
    <border>
      <left/>
      <right/>
      <top/>
      <bottom/>
      <diagonal/>
    </border>
    <border>
      <bottom style="medium">
        <color rgb="001B2A4A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7">
    <xf numFmtId="0" fontId="0" fillId="0" borderId="0"/>
    <xf numFmtId="0" fontId="1" fillId="2" borderId="1" applyAlignment="1">
      <alignment horizontal="center" vertical="center"/>
    </xf>
    <xf numFmtId="0" fontId="2" fillId="0" borderId="2"/>
    <xf numFmtId="164" fontId="2" fillId="0" borderId="2"/>
    <xf numFmtId="3" fontId="2" fillId="0" borderId="2"/>
    <xf numFmtId="0" fontId="3" fillId="3" borderId="3"/>
    <xf numFmtId="0" fontId="2" fillId="4" borderId="2"/>
  </cellStyleXfs>
  <cellXfs count="27">
    <xf numFmtId="0" fontId="0" fillId="0" borderId="0" pivotButton="0" quotePrefix="0" xfId="0"/>
    <xf numFmtId="0" fontId="4" fillId="0" borderId="0" applyAlignment="1" pivotButton="0" quotePrefix="0" xfId="0">
      <alignment horizontal="left"/>
    </xf>
    <xf numFmtId="0" fontId="1" fillId="2" borderId="1" applyAlignment="1" pivotButton="0" quotePrefix="0" xfId="1">
      <alignment horizontal="center" vertical="center"/>
    </xf>
    <xf numFmtId="0" fontId="3" fillId="0" borderId="2" pivotButton="0" quotePrefix="0" xfId="2"/>
    <xf numFmtId="165" fontId="2" fillId="0" borderId="2" pivotButton="0" quotePrefix="0" xfId="2"/>
    <xf numFmtId="3" fontId="2" fillId="0" borderId="2" pivotButton="0" quotePrefix="0" xfId="2"/>
    <xf numFmtId="2" fontId="2" fillId="0" borderId="2" pivotButton="0" quotePrefix="0" xfId="2"/>
    <xf numFmtId="166" fontId="2" fillId="0" borderId="2" pivotButton="0" quotePrefix="0" xfId="2"/>
    <xf numFmtId="164" fontId="2" fillId="0" borderId="2" pivotButton="0" quotePrefix="0" xfId="2"/>
    <xf numFmtId="3" fontId="2" fillId="0" borderId="2" pivotButton="0" quotePrefix="0" xfId="4"/>
    <xf numFmtId="3" fontId="2" fillId="4" borderId="2" pivotButton="0" quotePrefix="0" xfId="6"/>
    <xf numFmtId="4" fontId="2" fillId="0" borderId="2" pivotButton="0" quotePrefix="0" xfId="2"/>
    <xf numFmtId="4" fontId="2" fillId="4" borderId="2" pivotButton="0" quotePrefix="0" xfId="6"/>
    <xf numFmtId="0" fontId="5" fillId="0" borderId="2" pivotButton="0" quotePrefix="0" xfId="2"/>
    <xf numFmtId="164" fontId="2" fillId="0" borderId="2" pivotButton="0" quotePrefix="0" xfId="3"/>
    <xf numFmtId="164" fontId="2" fillId="4" borderId="2" pivotButton="0" quotePrefix="0" xfId="6"/>
    <xf numFmtId="0" fontId="4" fillId="0" borderId="0" pivotButton="0" quotePrefix="0" xfId="0"/>
    <xf numFmtId="164" fontId="3" fillId="3" borderId="3" pivotButton="0" quotePrefix="0" xfId="5"/>
    <xf numFmtId="0" fontId="6" fillId="0" borderId="0" pivotButton="0" quotePrefix="0" xfId="0"/>
    <xf numFmtId="0" fontId="3" fillId="3" borderId="2" pivotButton="0" quotePrefix="0" xfId="2"/>
    <xf numFmtId="166" fontId="2" fillId="3" borderId="2" pivotButton="0" quotePrefix="0" xfId="2"/>
    <xf numFmtId="0" fontId="2" fillId="0" borderId="2" pivotButton="0" quotePrefix="0" xfId="2"/>
    <xf numFmtId="0" fontId="7" fillId="0" borderId="2" pivotButton="0" quotePrefix="0" xfId="2"/>
    <xf numFmtId="166" fontId="3" fillId="0" borderId="2" pivotButton="0" quotePrefix="0" xfId="2"/>
    <xf numFmtId="0" fontId="8" fillId="5" borderId="2" pivotButton="0" quotePrefix="0" xfId="2"/>
    <xf numFmtId="0" fontId="2" fillId="5" borderId="2" pivotButton="0" quotePrefix="0" xfId="2"/>
    <xf numFmtId="0" fontId="9" fillId="0" borderId="0" pivotButton="0" quotePrefix="0" xfId="0"/>
  </cellXfs>
  <cellStyles count="7">
    <cellStyle name="Normal" xfId="0" builtinId="0" hidden="0"/>
    <cellStyle name="header" xfId="1" hidden="0"/>
    <cellStyle name="data" xfId="2" hidden="0"/>
    <cellStyle name="data_pct" xfId="3" hidden="0"/>
    <cellStyle name="data_currency" xfId="4" hidden="0"/>
    <cellStyle name="input_cell" xfId="5" hidden="0"/>
    <cellStyle name="projected" xfId="6" hidden="0"/>
  </cellStyles>
  <dxfs count="2">
    <dxf>
      <font>
        <name val="Calibri"/>
        <color rgb="00006100"/>
        <sz val="10"/>
      </font>
    </dxf>
    <dxf>
      <font>
        <name val="Calibri"/>
        <color rgb="009C0006"/>
        <sz val="1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2" customWidth="1" min="3" max="3"/>
    <col width="12" customWidth="1" min="4" max="4"/>
  </cols>
  <sheetData>
    <row r="1">
      <c r="A1" s="1" t="inlineStr">
        <is>
          <t>Apple Inc. (AAPL)</t>
        </is>
      </c>
    </row>
    <row r="2">
      <c r="A2" t="inlineStr">
        <is>
          <t>Exchange: NMS</t>
        </is>
      </c>
      <c r="B2" t="inlineStr">
        <is>
          <t>Currency: USD</t>
        </is>
      </c>
    </row>
    <row r="3"/>
    <row r="4">
      <c r="A4" s="2" t="inlineStr">
        <is>
          <t>Metric</t>
        </is>
      </c>
      <c r="B4" s="2" t="inlineStr">
        <is>
          <t>Value</t>
        </is>
      </c>
    </row>
    <row r="5">
      <c r="A5" s="3" t="inlineStr">
        <is>
          <t>Stock Price</t>
        </is>
      </c>
      <c r="B5" s="4" t="n">
        <v>264.18</v>
      </c>
    </row>
    <row r="6">
      <c r="A6" s="3" t="inlineStr">
        <is>
          <t>Market Cap</t>
        </is>
      </c>
      <c r="B6" s="5" t="n">
        <v>3882897899520</v>
      </c>
    </row>
    <row r="7">
      <c r="A7" s="3" t="inlineStr">
        <is>
          <t>Shares Outstanding</t>
        </is>
      </c>
      <c r="B7" s="5" t="n">
        <v>14681140000</v>
      </c>
    </row>
    <row r="8">
      <c r="A8" s="3" t="inlineStr">
        <is>
          <t>Beta</t>
        </is>
      </c>
      <c r="B8" s="6" t="n">
        <v>1.107</v>
      </c>
    </row>
    <row r="9">
      <c r="A9" s="3" t="inlineStr">
        <is>
          <t>52-Week High</t>
        </is>
      </c>
      <c r="B9" s="4" t="n">
        <v>288.62</v>
      </c>
    </row>
    <row r="10">
      <c r="A10" s="3" t="inlineStr">
        <is>
          <t>52-Week Low</t>
        </is>
      </c>
      <c r="B10" s="4" t="n">
        <v>169.21</v>
      </c>
    </row>
    <row r="11">
      <c r="A11" s="3" t="inlineStr">
        <is>
          <t>Trailing P/E</t>
        </is>
      </c>
      <c r="B11" s="7" t="n">
        <v>33.440506</v>
      </c>
    </row>
    <row r="12">
      <c r="A12" s="3" t="inlineStr">
        <is>
          <t>Forward P/E</t>
        </is>
      </c>
      <c r="B12" s="7" t="n">
        <v>28.408987</v>
      </c>
    </row>
    <row r="13">
      <c r="A13" s="3" t="inlineStr">
        <is>
          <t>EV/EBITDA</t>
        </is>
      </c>
      <c r="B13" s="7" t="n">
        <v>25.52</v>
      </c>
    </row>
    <row r="14">
      <c r="A14" s="3" t="inlineStr">
        <is>
          <t>Dividend Yield</t>
        </is>
      </c>
      <c r="B14" s="8" t="n">
        <v>0.39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</cols>
  <sheetData>
    <row r="1">
      <c r="A1" s="2" t="inlineStr"/>
      <c r="B1" s="2" t="inlineStr">
        <is>
          <t>2024Q4</t>
        </is>
      </c>
      <c r="C1" s="2" t="inlineStr">
        <is>
          <t>2025Q1</t>
        </is>
      </c>
      <c r="D1" s="2" t="inlineStr">
        <is>
          <t>2025Q2</t>
        </is>
      </c>
      <c r="E1" s="2" t="inlineStr">
        <is>
          <t>2025Q3</t>
        </is>
      </c>
      <c r="F1" s="2" t="inlineStr">
        <is>
          <t>2025Q4</t>
        </is>
      </c>
      <c r="G1" s="2" t="inlineStr">
        <is>
          <t>2026Q1</t>
        </is>
      </c>
      <c r="H1" s="2" t="inlineStr">
        <is>
          <t>2026Q2</t>
        </is>
      </c>
      <c r="I1" s="2" t="inlineStr">
        <is>
          <t>2026Q3</t>
        </is>
      </c>
      <c r="J1" s="2" t="inlineStr">
        <is>
          <t>2026Q4</t>
        </is>
      </c>
      <c r="K1" s="2" t="inlineStr">
        <is>
          <t>2027Q1</t>
        </is>
      </c>
      <c r="L1" s="2" t="inlineStr">
        <is>
          <t>2027Q2</t>
        </is>
      </c>
      <c r="M1" s="2" t="inlineStr">
        <is>
          <t>2027Q3</t>
        </is>
      </c>
      <c r="N1" s="2" t="inlineStr">
        <is>
          <t>2027Q4</t>
        </is>
      </c>
      <c r="O1" s="2" t="inlineStr">
        <is>
          <t>2028Q1</t>
        </is>
      </c>
      <c r="P1" s="2" t="inlineStr">
        <is>
          <t>2028Q2</t>
        </is>
      </c>
      <c r="Q1" s="2" t="inlineStr">
        <is>
          <t>2028Q3</t>
        </is>
      </c>
      <c r="R1" s="2" t="inlineStr">
        <is>
          <t>2028Q4</t>
        </is>
      </c>
    </row>
    <row r="2">
      <c r="A2" s="3" t="inlineStr">
        <is>
          <t>Revenue</t>
        </is>
      </c>
      <c r="B2" s="9" t="n">
        <v>124300000000</v>
      </c>
      <c r="C2" s="9" t="n">
        <v>95359000000</v>
      </c>
      <c r="D2" s="9" t="n">
        <v>94036000000</v>
      </c>
      <c r="E2" s="9" t="n">
        <v>102466000000</v>
      </c>
      <c r="F2" s="9" t="n">
        <v>143756000000</v>
      </c>
      <c r="G2" s="10" t="n">
        <v>108475235358</v>
      </c>
      <c r="H2" s="10" t="n">
        <v>105453284861</v>
      </c>
      <c r="I2" s="10" t="n">
        <v>113501780994</v>
      </c>
      <c r="J2" s="10" t="n">
        <v>157563274930</v>
      </c>
      <c r="K2" s="10" t="n">
        <v>115313062535</v>
      </c>
      <c r="L2" s="10" t="n">
        <v>112831592937</v>
      </c>
      <c r="M2" s="10" t="n">
        <v>122129987856</v>
      </c>
      <c r="N2" s="10" t="n">
        <v>170370077772</v>
      </c>
      <c r="O2" s="10" t="n">
        <v>120731182105</v>
      </c>
      <c r="P2" s="10" t="n">
        <v>118562125590</v>
      </c>
      <c r="Q2" s="10" t="n">
        <v>128733222435</v>
      </c>
      <c r="R2" s="10" t="n">
        <v>180062260973</v>
      </c>
    </row>
    <row r="3">
      <c r="A3" s="3" t="inlineStr">
        <is>
          <t>Cost of Sales</t>
        </is>
      </c>
      <c r="B3" s="9" t="n">
        <v>66025000000</v>
      </c>
      <c r="C3" s="9" t="n">
        <v>50492000000</v>
      </c>
      <c r="D3" s="9" t="n">
        <v>50318000000</v>
      </c>
      <c r="E3" s="9" t="n">
        <v>54125000000</v>
      </c>
      <c r="F3" s="9" t="n">
        <v>74525000000</v>
      </c>
      <c r="G3" s="10" t="n">
        <v>56233562010</v>
      </c>
      <c r="H3" s="10" t="n">
        <v>54382259003</v>
      </c>
      <c r="I3" s="10" t="n">
        <v>58498817924</v>
      </c>
      <c r="J3" s="10" t="n">
        <v>81334162519</v>
      </c>
      <c r="K3" s="10" t="n">
        <v>59662978556</v>
      </c>
      <c r="L3" s="10" t="n">
        <v>58525747256</v>
      </c>
      <c r="M3" s="10" t="n">
        <v>63507593685</v>
      </c>
      <c r="N3" s="10" t="n">
        <v>88779847527</v>
      </c>
      <c r="O3" s="10" t="n">
        <v>63021677059</v>
      </c>
      <c r="P3" s="10" t="n">
        <v>61996135471</v>
      </c>
      <c r="Q3" s="10" t="n">
        <v>67404715267</v>
      </c>
      <c r="R3" s="10" t="n">
        <v>94388637202</v>
      </c>
    </row>
    <row r="4">
      <c r="A4" s="3" t="inlineStr">
        <is>
          <t>Gross Profit</t>
        </is>
      </c>
      <c r="B4" s="9" t="n">
        <v>58275000000</v>
      </c>
      <c r="C4" s="9" t="n">
        <v>44867000000</v>
      </c>
      <c r="D4" s="9" t="n">
        <v>43718000000</v>
      </c>
      <c r="E4" s="9" t="n">
        <v>48341000000</v>
      </c>
      <c r="F4" s="9" t="n">
        <v>69231000000</v>
      </c>
      <c r="G4" s="10" t="n">
        <v>52241673348</v>
      </c>
      <c r="H4" s="10" t="n">
        <v>51071025858</v>
      </c>
      <c r="I4" s="10" t="n">
        <v>55002963070</v>
      </c>
      <c r="J4" s="10" t="n">
        <v>76229112411</v>
      </c>
      <c r="K4" s="10" t="n">
        <v>55650083979</v>
      </c>
      <c r="L4" s="10" t="n">
        <v>54305845681</v>
      </c>
      <c r="M4" s="10" t="n">
        <v>58622394171</v>
      </c>
      <c r="N4" s="10" t="n">
        <v>81590230245</v>
      </c>
      <c r="O4" s="10" t="n">
        <v>57709505046</v>
      </c>
      <c r="P4" s="10" t="n">
        <v>56565990119</v>
      </c>
      <c r="Q4" s="10" t="n">
        <v>61328507168</v>
      </c>
      <c r="R4" s="10" t="n">
        <v>85673623771</v>
      </c>
    </row>
    <row r="5">
      <c r="A5" s="3" t="inlineStr">
        <is>
          <t>Operating Income</t>
        </is>
      </c>
      <c r="B5" s="9" t="n">
        <v>42832000000</v>
      </c>
      <c r="C5" s="9" t="n">
        <v>29589000000</v>
      </c>
      <c r="D5" s="9" t="n">
        <v>28202000000</v>
      </c>
      <c r="E5" s="9" t="n">
        <v>32427000000</v>
      </c>
      <c r="F5" s="9" t="n">
        <v>50852000000</v>
      </c>
      <c r="G5" s="10" t="n">
        <v>-21228603560</v>
      </c>
      <c r="H5" s="10" t="n">
        <v>-23410629239</v>
      </c>
      <c r="I5" s="10" t="n">
        <v>-27739835275</v>
      </c>
      <c r="J5" s="10" t="n">
        <v>-41502166617</v>
      </c>
      <c r="K5" s="10" t="n">
        <v>-32241532285</v>
      </c>
      <c r="L5" s="10" t="n">
        <v>-33104789368</v>
      </c>
      <c r="M5" s="10" t="n">
        <v>-37261859295</v>
      </c>
      <c r="N5" s="10" t="n">
        <v>-53666574498</v>
      </c>
      <c r="O5" s="10" t="n">
        <v>-39056537411</v>
      </c>
      <c r="P5" s="10" t="n">
        <v>-39196638720</v>
      </c>
      <c r="Q5" s="10" t="n">
        <v>-43344475994</v>
      </c>
      <c r="R5" s="10" t="n">
        <v>-61563287027</v>
      </c>
    </row>
    <row r="6">
      <c r="A6" s="3" t="inlineStr">
        <is>
          <t>Net Income</t>
        </is>
      </c>
      <c r="B6" s="9" t="n">
        <v>36330000000</v>
      </c>
      <c r="C6" s="9" t="n">
        <v>24780000000</v>
      </c>
      <c r="D6" s="9" t="n">
        <v>23434000000</v>
      </c>
      <c r="E6" s="9" t="n">
        <v>27466000000</v>
      </c>
      <c r="F6" s="9" t="n">
        <v>42097000000</v>
      </c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  <c r="Q6" s="10" t="n"/>
      <c r="R6" s="10" t="n"/>
    </row>
    <row r="7">
      <c r="A7" s="3" t="inlineStr">
        <is>
          <t>EBITDA</t>
        </is>
      </c>
      <c r="B7" s="9" t="n">
        <v>45912000000</v>
      </c>
      <c r="C7" s="9" t="n">
        <v>32250000000</v>
      </c>
      <c r="D7" s="9" t="n">
        <v>31032000000</v>
      </c>
      <c r="E7" s="9" t="n">
        <v>35554000000</v>
      </c>
      <c r="F7" s="9" t="n">
        <v>54066000000</v>
      </c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</row>
    <row r="8">
      <c r="A8" s="3" t="inlineStr">
        <is>
          <t>D&amp;A</t>
        </is>
      </c>
      <c r="B8" s="9" t="n">
        <v>3080000000</v>
      </c>
      <c r="C8" s="9" t="n">
        <v>2661000000</v>
      </c>
      <c r="D8" s="9" t="n">
        <v>2830000000</v>
      </c>
      <c r="E8" s="9" t="n">
        <v>3127000000</v>
      </c>
      <c r="F8" s="9" t="n">
        <v>3214000000</v>
      </c>
      <c r="G8" s="10" t="n">
        <v>3006789779</v>
      </c>
      <c r="H8" s="10" t="n">
        <v>2923025316</v>
      </c>
      <c r="I8" s="10" t="n">
        <v>3146118963</v>
      </c>
      <c r="J8" s="10" t="n">
        <v>4367445187</v>
      </c>
      <c r="K8" s="10" t="n">
        <v>3196325287</v>
      </c>
      <c r="L8" s="10" t="n">
        <v>3127542238</v>
      </c>
      <c r="M8" s="10" t="n">
        <v>3385281423</v>
      </c>
      <c r="N8" s="10" t="n">
        <v>4722432791</v>
      </c>
      <c r="O8" s="10" t="n">
        <v>3346508382</v>
      </c>
      <c r="P8" s="10" t="n">
        <v>3286385009</v>
      </c>
      <c r="Q8" s="10" t="n">
        <v>3568314336</v>
      </c>
      <c r="R8" s="10" t="n">
        <v>4991087266</v>
      </c>
    </row>
    <row r="9">
      <c r="A9" s="3" t="inlineStr">
        <is>
          <t>EPS</t>
        </is>
      </c>
      <c r="B9" s="11" t="n">
        <v>2</v>
      </c>
      <c r="C9" s="11" t="n">
        <v>1</v>
      </c>
      <c r="D9" s="11" t="n">
        <v>1</v>
      </c>
      <c r="E9" s="11" t="n">
        <v>1</v>
      </c>
      <c r="F9" s="11" t="n">
        <v>2</v>
      </c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</row>
    <row r="10">
      <c r="A10" s="3" t="inlineStr">
        <is>
          <t>Diluted Shares</t>
        </is>
      </c>
      <c r="B10" s="9" t="n">
        <v>15150865000</v>
      </c>
      <c r="C10" s="9" t="n">
        <v>15056133000</v>
      </c>
      <c r="D10" s="9" t="n">
        <v>14948179000</v>
      </c>
      <c r="E10" s="9" t="n">
        <v>14863609000</v>
      </c>
      <c r="F10" s="9" t="n">
        <v>14810356000</v>
      </c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  <c r="P10" s="10" t="n"/>
      <c r="Q10" s="10" t="n"/>
      <c r="R10" s="10" t="n"/>
    </row>
    <row r="11">
      <c r="A11" s="3" t="inlineStr">
        <is>
          <t>Total Operating Expenses</t>
        </is>
      </c>
      <c r="B11" s="9" t="n"/>
      <c r="C11" s="9" t="n"/>
      <c r="D11" s="9" t="n"/>
      <c r="E11" s="9" t="n"/>
      <c r="F11" s="9" t="n"/>
      <c r="G11" s="10" t="n">
        <v>129703838918</v>
      </c>
      <c r="H11" s="10" t="n">
        <v>128863914100</v>
      </c>
      <c r="I11" s="10" t="n">
        <v>141241616269</v>
      </c>
      <c r="J11" s="10" t="n">
        <v>199065441547</v>
      </c>
      <c r="K11" s="10" t="n">
        <v>147554594820</v>
      </c>
      <c r="L11" s="10" t="n">
        <v>145936382305</v>
      </c>
      <c r="M11" s="10" t="n">
        <v>159391847151</v>
      </c>
      <c r="N11" s="10" t="n">
        <v>224036652270</v>
      </c>
      <c r="O11" s="10" t="n">
        <v>159787719516</v>
      </c>
      <c r="P11" s="10" t="n">
        <v>157758764310</v>
      </c>
      <c r="Q11" s="10" t="n">
        <v>172077698429</v>
      </c>
      <c r="R11" s="10" t="n">
        <v>241625548000</v>
      </c>
    </row>
    <row r="12">
      <c r="A12" s="3" t="inlineStr">
        <is>
          <t>Pre-tax Income</t>
        </is>
      </c>
      <c r="B12" s="9" t="n"/>
      <c r="C12" s="9" t="n"/>
      <c r="D12" s="9" t="n"/>
      <c r="E12" s="9" t="n"/>
      <c r="F12" s="9" t="n"/>
      <c r="G12" s="10" t="n">
        <v>-21228603560</v>
      </c>
      <c r="H12" s="10" t="n">
        <v>-23410629239</v>
      </c>
      <c r="I12" s="10" t="n">
        <v>-27739835275</v>
      </c>
      <c r="J12" s="10" t="n">
        <v>-41502166617</v>
      </c>
      <c r="K12" s="10" t="n">
        <v>-32241532285</v>
      </c>
      <c r="L12" s="10" t="n">
        <v>-33104789368</v>
      </c>
      <c r="M12" s="10" t="n">
        <v>-37261859295</v>
      </c>
      <c r="N12" s="10" t="n">
        <v>-53666574498</v>
      </c>
      <c r="O12" s="10" t="n">
        <v>-39056537411</v>
      </c>
      <c r="P12" s="10" t="n">
        <v>-39196638720</v>
      </c>
      <c r="Q12" s="10" t="n">
        <v>-43344475994</v>
      </c>
      <c r="R12" s="10" t="n">
        <v>-61563287027</v>
      </c>
    </row>
    <row r="13">
      <c r="A13" s="3" t="inlineStr">
        <is>
          <t>Tax Provision</t>
        </is>
      </c>
      <c r="B13" s="9" t="n"/>
      <c r="C13" s="9" t="n"/>
      <c r="D13" s="9" t="n"/>
      <c r="E13" s="9" t="n"/>
      <c r="F13" s="9" t="n"/>
      <c r="G13" s="10" t="n">
        <v>-3396576570</v>
      </c>
      <c r="H13" s="10" t="n">
        <v>-3745700678</v>
      </c>
      <c r="I13" s="10" t="n">
        <v>-4438373644</v>
      </c>
      <c r="J13" s="10" t="n">
        <v>-6640346659</v>
      </c>
      <c r="K13" s="10" t="n">
        <v>-5158645166</v>
      </c>
      <c r="L13" s="10" t="n">
        <v>-5296766299</v>
      </c>
      <c r="M13" s="10" t="n">
        <v>-5961897487</v>
      </c>
      <c r="N13" s="10" t="n">
        <v>-8586651920</v>
      </c>
      <c r="O13" s="10" t="n">
        <v>-6249045986</v>
      </c>
      <c r="P13" s="10" t="n">
        <v>-6271462195</v>
      </c>
      <c r="Q13" s="10" t="n">
        <v>-6935116159</v>
      </c>
      <c r="R13" s="10" t="n">
        <v>-9850125924</v>
      </c>
    </row>
    <row r="14">
      <c r="A14" s="13" t="inlineStr">
        <is>
          <t>Gross Margin %</t>
        </is>
      </c>
      <c r="B14" s="14">
        <f>IF(B2&lt;&gt;0,B4/B2,"")</f>
        <v/>
      </c>
      <c r="C14" s="14">
        <f>IF(C2&lt;&gt;0,C4/C2,"")</f>
        <v/>
      </c>
      <c r="D14" s="14">
        <f>IF(D2&lt;&gt;0,D4/D2,"")</f>
        <v/>
      </c>
      <c r="E14" s="14">
        <f>IF(E2&lt;&gt;0,E4/E2,"")</f>
        <v/>
      </c>
      <c r="F14" s="14">
        <f>IF(F2&lt;&gt;0,F4/F2,"")</f>
        <v/>
      </c>
      <c r="G14" s="15">
        <f>IF(G2&lt;&gt;0,G4/G2,"")</f>
        <v/>
      </c>
      <c r="H14" s="15">
        <f>IF(H2&lt;&gt;0,H4/H2,"")</f>
        <v/>
      </c>
      <c r="I14" s="15">
        <f>IF(I2&lt;&gt;0,I4/I2,"")</f>
        <v/>
      </c>
      <c r="J14" s="15">
        <f>IF(J2&lt;&gt;0,J4/J2,"")</f>
        <v/>
      </c>
      <c r="K14" s="15">
        <f>IF(K2&lt;&gt;0,K4/K2,"")</f>
        <v/>
      </c>
      <c r="L14" s="15">
        <f>IF(L2&lt;&gt;0,L4/L2,"")</f>
        <v/>
      </c>
      <c r="M14" s="15">
        <f>IF(M2&lt;&gt;0,M4/M2,"")</f>
        <v/>
      </c>
      <c r="N14" s="15">
        <f>IF(N2&lt;&gt;0,N4/N2,"")</f>
        <v/>
      </c>
      <c r="O14" s="15">
        <f>IF(O2&lt;&gt;0,O4/O2,"")</f>
        <v/>
      </c>
      <c r="P14" s="15">
        <f>IF(P2&lt;&gt;0,P4/P2,"")</f>
        <v/>
      </c>
      <c r="Q14" s="15">
        <f>IF(Q2&lt;&gt;0,Q4/Q2,"")</f>
        <v/>
      </c>
      <c r="R14" s="15">
        <f>IF(R2&lt;&gt;0,R4/R2,"")</f>
        <v/>
      </c>
    </row>
    <row r="15">
      <c r="A15" s="13" t="inlineStr">
        <is>
          <t>Operating Margin %</t>
        </is>
      </c>
      <c r="B15" s="14">
        <f>IF(B2&lt;&gt;0,B5/B2,"")</f>
        <v/>
      </c>
      <c r="C15" s="14">
        <f>IF(C2&lt;&gt;0,C5/C2,"")</f>
        <v/>
      </c>
      <c r="D15" s="14">
        <f>IF(D2&lt;&gt;0,D5/D2,"")</f>
        <v/>
      </c>
      <c r="E15" s="14">
        <f>IF(E2&lt;&gt;0,E5/E2,"")</f>
        <v/>
      </c>
      <c r="F15" s="14">
        <f>IF(F2&lt;&gt;0,F5/F2,"")</f>
        <v/>
      </c>
      <c r="G15" s="15">
        <f>IF(G2&lt;&gt;0,G5/G2,"")</f>
        <v/>
      </c>
      <c r="H15" s="15">
        <f>IF(H2&lt;&gt;0,H5/H2,"")</f>
        <v/>
      </c>
      <c r="I15" s="15">
        <f>IF(I2&lt;&gt;0,I5/I2,"")</f>
        <v/>
      </c>
      <c r="J15" s="15">
        <f>IF(J2&lt;&gt;0,J5/J2,"")</f>
        <v/>
      </c>
      <c r="K15" s="15">
        <f>IF(K2&lt;&gt;0,K5/K2,"")</f>
        <v/>
      </c>
      <c r="L15" s="15">
        <f>IF(L2&lt;&gt;0,L5/L2,"")</f>
        <v/>
      </c>
      <c r="M15" s="15">
        <f>IF(M2&lt;&gt;0,M5/M2,"")</f>
        <v/>
      </c>
      <c r="N15" s="15">
        <f>IF(N2&lt;&gt;0,N5/N2,"")</f>
        <v/>
      </c>
      <c r="O15" s="15">
        <f>IF(O2&lt;&gt;0,O5/O2,"")</f>
        <v/>
      </c>
      <c r="P15" s="15">
        <f>IF(P2&lt;&gt;0,P5/P2,"")</f>
        <v/>
      </c>
      <c r="Q15" s="15">
        <f>IF(Q2&lt;&gt;0,Q5/Q2,"")</f>
        <v/>
      </c>
      <c r="R15" s="15">
        <f>IF(R2&lt;&gt;0,R5/R2,"")</f>
        <v/>
      </c>
    </row>
    <row r="16">
      <c r="A16" s="13" t="inlineStr">
        <is>
          <t>Net Margin %</t>
        </is>
      </c>
      <c r="B16" s="14">
        <f>IF(B2&lt;&gt;0,B6/B2,"")</f>
        <v/>
      </c>
      <c r="C16" s="14">
        <f>IF(C2&lt;&gt;0,C6/C2,"")</f>
        <v/>
      </c>
      <c r="D16" s="14">
        <f>IF(D2&lt;&gt;0,D6/D2,"")</f>
        <v/>
      </c>
      <c r="E16" s="14">
        <f>IF(E2&lt;&gt;0,E6/E2,"")</f>
        <v/>
      </c>
      <c r="F16" s="14">
        <f>IF(F2&lt;&gt;0,F6/F2,"")</f>
        <v/>
      </c>
      <c r="G16" s="15">
        <f>IF(G2&lt;&gt;0,G6/G2,"")</f>
        <v/>
      </c>
      <c r="H16" s="15">
        <f>IF(H2&lt;&gt;0,H6/H2,"")</f>
        <v/>
      </c>
      <c r="I16" s="15">
        <f>IF(I2&lt;&gt;0,I6/I2,"")</f>
        <v/>
      </c>
      <c r="J16" s="15">
        <f>IF(J2&lt;&gt;0,J6/J2,"")</f>
        <v/>
      </c>
      <c r="K16" s="15">
        <f>IF(K2&lt;&gt;0,K6/K2,"")</f>
        <v/>
      </c>
      <c r="L16" s="15">
        <f>IF(L2&lt;&gt;0,L6/L2,"")</f>
        <v/>
      </c>
      <c r="M16" s="15">
        <f>IF(M2&lt;&gt;0,M6/M2,"")</f>
        <v/>
      </c>
      <c r="N16" s="15">
        <f>IF(N2&lt;&gt;0,N6/N2,"")</f>
        <v/>
      </c>
      <c r="O16" s="15">
        <f>IF(O2&lt;&gt;0,O6/O2,"")</f>
        <v/>
      </c>
      <c r="P16" s="15">
        <f>IF(P2&lt;&gt;0,P6/P2,"")</f>
        <v/>
      </c>
      <c r="Q16" s="15">
        <f>IF(Q2&lt;&gt;0,Q6/Q2,"")</f>
        <v/>
      </c>
      <c r="R16" s="15">
        <f>IF(R2&lt;&gt;0,R6/R2,"")</f>
        <v/>
      </c>
    </row>
    <row r="17"/>
    <row r="18">
      <c r="A18" s="13" t="inlineStr">
        <is>
          <t>Revenue YoY Growth %</t>
        </is>
      </c>
      <c r="F18" s="14">
        <f>IF(AND(B2&lt;&gt;"",B2&lt;&gt;0),F2/B2-1,"")</f>
        <v/>
      </c>
      <c r="G18" s="15">
        <f>IF(AND(C2&lt;&gt;"",C2&lt;&gt;0),G2/C2-1,"")</f>
        <v/>
      </c>
      <c r="H18" s="15">
        <f>IF(AND(D2&lt;&gt;"",D2&lt;&gt;0),H2/D2-1,"")</f>
        <v/>
      </c>
      <c r="I18" s="15">
        <f>IF(AND(E2&lt;&gt;"",E2&lt;&gt;0),I2/E2-1,"")</f>
        <v/>
      </c>
      <c r="J18" s="15">
        <f>IF(AND(F2&lt;&gt;"",F2&lt;&gt;0),J2/F2-1,"")</f>
        <v/>
      </c>
      <c r="K18" s="15">
        <f>IF(AND(G2&lt;&gt;"",G2&lt;&gt;0),K2/G2-1,"")</f>
        <v/>
      </c>
      <c r="L18" s="15">
        <f>IF(AND(H2&lt;&gt;"",H2&lt;&gt;0),L2/H2-1,"")</f>
        <v/>
      </c>
      <c r="M18" s="15">
        <f>IF(AND(I2&lt;&gt;"",I2&lt;&gt;0),M2/I2-1,"")</f>
        <v/>
      </c>
      <c r="N18" s="15">
        <f>IF(AND(J2&lt;&gt;"",J2&lt;&gt;0),N2/J2-1,"")</f>
        <v/>
      </c>
      <c r="O18" s="15">
        <f>IF(AND(K2&lt;&gt;"",K2&lt;&gt;0),O2/K2-1,"")</f>
        <v/>
      </c>
      <c r="P18" s="15">
        <f>IF(AND(L2&lt;&gt;"",L2&lt;&gt;0),P2/L2-1,"")</f>
        <v/>
      </c>
      <c r="Q18" s="15">
        <f>IF(AND(M2&lt;&gt;"",M2&lt;&gt;0),Q2/M2-1,"")</f>
        <v/>
      </c>
      <c r="R18" s="15">
        <f>IF(AND(N2&lt;&gt;"",N2&lt;&gt;0),R2/N2-1,"")</f>
        <v/>
      </c>
    </row>
    <row r="19">
      <c r="A19" s="13" t="inlineStr">
        <is>
          <t>Cost of Sales YoY Growth %</t>
        </is>
      </c>
      <c r="F19" s="14">
        <f>IF(AND(B3&lt;&gt;"",B3&lt;&gt;0),F3/B3-1,"")</f>
        <v/>
      </c>
      <c r="G19" s="15">
        <f>IF(AND(C3&lt;&gt;"",C3&lt;&gt;0),G3/C3-1,"")</f>
        <v/>
      </c>
      <c r="H19" s="15">
        <f>IF(AND(D3&lt;&gt;"",D3&lt;&gt;0),H3/D3-1,"")</f>
        <v/>
      </c>
      <c r="I19" s="15">
        <f>IF(AND(E3&lt;&gt;"",E3&lt;&gt;0),I3/E3-1,"")</f>
        <v/>
      </c>
      <c r="J19" s="15">
        <f>IF(AND(F3&lt;&gt;"",F3&lt;&gt;0),J3/F3-1,"")</f>
        <v/>
      </c>
      <c r="K19" s="15">
        <f>IF(AND(G3&lt;&gt;"",G3&lt;&gt;0),K3/G3-1,"")</f>
        <v/>
      </c>
      <c r="L19" s="15">
        <f>IF(AND(H3&lt;&gt;"",H3&lt;&gt;0),L3/H3-1,"")</f>
        <v/>
      </c>
      <c r="M19" s="15">
        <f>IF(AND(I3&lt;&gt;"",I3&lt;&gt;0),M3/I3-1,"")</f>
        <v/>
      </c>
      <c r="N19" s="15">
        <f>IF(AND(J3&lt;&gt;"",J3&lt;&gt;0),N3/J3-1,"")</f>
        <v/>
      </c>
      <c r="O19" s="15">
        <f>IF(AND(K3&lt;&gt;"",K3&lt;&gt;0),O3/K3-1,"")</f>
        <v/>
      </c>
      <c r="P19" s="15">
        <f>IF(AND(L3&lt;&gt;"",L3&lt;&gt;0),P3/L3-1,"")</f>
        <v/>
      </c>
      <c r="Q19" s="15">
        <f>IF(AND(M3&lt;&gt;"",M3&lt;&gt;0),Q3/M3-1,"")</f>
        <v/>
      </c>
      <c r="R19" s="15">
        <f>IF(AND(N3&lt;&gt;"",N3&lt;&gt;0),R3/N3-1,"")</f>
        <v/>
      </c>
    </row>
    <row r="20">
      <c r="A20" s="13" t="inlineStr">
        <is>
          <t>Gross Profit YoY Growth %</t>
        </is>
      </c>
      <c r="F20" s="14">
        <f>IF(AND(B4&lt;&gt;"",B4&lt;&gt;0),F4/B4-1,"")</f>
        <v/>
      </c>
      <c r="G20" s="15">
        <f>IF(AND(C4&lt;&gt;"",C4&lt;&gt;0),G4/C4-1,"")</f>
        <v/>
      </c>
      <c r="H20" s="15">
        <f>IF(AND(D4&lt;&gt;"",D4&lt;&gt;0),H4/D4-1,"")</f>
        <v/>
      </c>
      <c r="I20" s="15">
        <f>IF(AND(E4&lt;&gt;"",E4&lt;&gt;0),I4/E4-1,"")</f>
        <v/>
      </c>
      <c r="J20" s="15">
        <f>IF(AND(F4&lt;&gt;"",F4&lt;&gt;0),J4/F4-1,"")</f>
        <v/>
      </c>
      <c r="K20" s="15">
        <f>IF(AND(G4&lt;&gt;"",G4&lt;&gt;0),K4/G4-1,"")</f>
        <v/>
      </c>
      <c r="L20" s="15">
        <f>IF(AND(H4&lt;&gt;"",H4&lt;&gt;0),L4/H4-1,"")</f>
        <v/>
      </c>
      <c r="M20" s="15">
        <f>IF(AND(I4&lt;&gt;"",I4&lt;&gt;0),M4/I4-1,"")</f>
        <v/>
      </c>
      <c r="N20" s="15">
        <f>IF(AND(J4&lt;&gt;"",J4&lt;&gt;0),N4/J4-1,"")</f>
        <v/>
      </c>
      <c r="O20" s="15">
        <f>IF(AND(K4&lt;&gt;"",K4&lt;&gt;0),O4/K4-1,"")</f>
        <v/>
      </c>
      <c r="P20" s="15">
        <f>IF(AND(L4&lt;&gt;"",L4&lt;&gt;0),P4/L4-1,"")</f>
        <v/>
      </c>
      <c r="Q20" s="15">
        <f>IF(AND(M4&lt;&gt;"",M4&lt;&gt;0),Q4/M4-1,"")</f>
        <v/>
      </c>
      <c r="R20" s="15">
        <f>IF(AND(N4&lt;&gt;"",N4&lt;&gt;0),R4/N4-1,"")</f>
        <v/>
      </c>
    </row>
    <row r="21">
      <c r="A21" s="13" t="inlineStr">
        <is>
          <t>Operating Income YoY Growth %</t>
        </is>
      </c>
      <c r="F21" s="14">
        <f>IF(AND(B5&lt;&gt;"",B5&lt;&gt;0),F5/B5-1,"")</f>
        <v/>
      </c>
      <c r="G21" s="15">
        <f>IF(AND(C5&lt;&gt;"",C5&lt;&gt;0),G5/C5-1,"")</f>
        <v/>
      </c>
      <c r="H21" s="15">
        <f>IF(AND(D5&lt;&gt;"",D5&lt;&gt;0),H5/D5-1,"")</f>
        <v/>
      </c>
      <c r="I21" s="15">
        <f>IF(AND(E5&lt;&gt;"",E5&lt;&gt;0),I5/E5-1,"")</f>
        <v/>
      </c>
      <c r="J21" s="15">
        <f>IF(AND(F5&lt;&gt;"",F5&lt;&gt;0),J5/F5-1,"")</f>
        <v/>
      </c>
      <c r="K21" s="15">
        <f>IF(AND(G5&lt;&gt;"",G5&lt;&gt;0),K5/G5-1,"")</f>
        <v/>
      </c>
      <c r="L21" s="15">
        <f>IF(AND(H5&lt;&gt;"",H5&lt;&gt;0),L5/H5-1,"")</f>
        <v/>
      </c>
      <c r="M21" s="15">
        <f>IF(AND(I5&lt;&gt;"",I5&lt;&gt;0),M5/I5-1,"")</f>
        <v/>
      </c>
      <c r="N21" s="15">
        <f>IF(AND(J5&lt;&gt;"",J5&lt;&gt;0),N5/J5-1,"")</f>
        <v/>
      </c>
      <c r="O21" s="15">
        <f>IF(AND(K5&lt;&gt;"",K5&lt;&gt;0),O5/K5-1,"")</f>
        <v/>
      </c>
      <c r="P21" s="15">
        <f>IF(AND(L5&lt;&gt;"",L5&lt;&gt;0),P5/L5-1,"")</f>
        <v/>
      </c>
      <c r="Q21" s="15">
        <f>IF(AND(M5&lt;&gt;"",M5&lt;&gt;0),Q5/M5-1,"")</f>
        <v/>
      </c>
      <c r="R21" s="15">
        <f>IF(AND(N5&lt;&gt;"",N5&lt;&gt;0),R5/N5-1,"")</f>
        <v/>
      </c>
    </row>
    <row r="22">
      <c r="A22" s="13" t="inlineStr">
        <is>
          <t>Net Income YoY Growth %</t>
        </is>
      </c>
      <c r="F22" s="14">
        <f>IF(AND(B6&lt;&gt;"",B6&lt;&gt;0),F6/B6-1,"")</f>
        <v/>
      </c>
      <c r="G22" s="15">
        <f>IF(AND(C6&lt;&gt;"",C6&lt;&gt;0),G6/C6-1,"")</f>
        <v/>
      </c>
      <c r="H22" s="15">
        <f>IF(AND(D6&lt;&gt;"",D6&lt;&gt;0),H6/D6-1,"")</f>
        <v/>
      </c>
      <c r="I22" s="15">
        <f>IF(AND(E6&lt;&gt;"",E6&lt;&gt;0),I6/E6-1,"")</f>
        <v/>
      </c>
      <c r="J22" s="15">
        <f>IF(AND(F6&lt;&gt;"",F6&lt;&gt;0),J6/F6-1,"")</f>
        <v/>
      </c>
      <c r="K22" s="15">
        <f>IF(AND(G6&lt;&gt;"",G6&lt;&gt;0),K6/G6-1,"")</f>
        <v/>
      </c>
      <c r="L22" s="15">
        <f>IF(AND(H6&lt;&gt;"",H6&lt;&gt;0),L6/H6-1,"")</f>
        <v/>
      </c>
      <c r="M22" s="15">
        <f>IF(AND(I6&lt;&gt;"",I6&lt;&gt;0),M6/I6-1,"")</f>
        <v/>
      </c>
      <c r="N22" s="15">
        <f>IF(AND(J6&lt;&gt;"",J6&lt;&gt;0),N6/J6-1,"")</f>
        <v/>
      </c>
      <c r="O22" s="15">
        <f>IF(AND(K6&lt;&gt;"",K6&lt;&gt;0),O6/K6-1,"")</f>
        <v/>
      </c>
      <c r="P22" s="15">
        <f>IF(AND(L6&lt;&gt;"",L6&lt;&gt;0),P6/L6-1,"")</f>
        <v/>
      </c>
      <c r="Q22" s="15">
        <f>IF(AND(M6&lt;&gt;"",M6&lt;&gt;0),Q6/M6-1,"")</f>
        <v/>
      </c>
      <c r="R22" s="15">
        <f>IF(AND(N6&lt;&gt;"",N6&lt;&gt;0),R6/N6-1,"")</f>
        <v/>
      </c>
    </row>
    <row r="23">
      <c r="A23" s="13" t="inlineStr">
        <is>
          <t>EBITDA YoY Growth %</t>
        </is>
      </c>
      <c r="F23" s="14">
        <f>IF(AND(B7&lt;&gt;"",B7&lt;&gt;0),F7/B7-1,"")</f>
        <v/>
      </c>
      <c r="G23" s="15">
        <f>IF(AND(C7&lt;&gt;"",C7&lt;&gt;0),G7/C7-1,"")</f>
        <v/>
      </c>
      <c r="H23" s="15">
        <f>IF(AND(D7&lt;&gt;"",D7&lt;&gt;0),H7/D7-1,"")</f>
        <v/>
      </c>
      <c r="I23" s="15">
        <f>IF(AND(E7&lt;&gt;"",E7&lt;&gt;0),I7/E7-1,"")</f>
        <v/>
      </c>
      <c r="J23" s="15">
        <f>IF(AND(F7&lt;&gt;"",F7&lt;&gt;0),J7/F7-1,"")</f>
        <v/>
      </c>
      <c r="K23" s="15">
        <f>IF(AND(G7&lt;&gt;"",G7&lt;&gt;0),K7/G7-1,"")</f>
        <v/>
      </c>
      <c r="L23" s="15">
        <f>IF(AND(H7&lt;&gt;"",H7&lt;&gt;0),L7/H7-1,"")</f>
        <v/>
      </c>
      <c r="M23" s="15">
        <f>IF(AND(I7&lt;&gt;"",I7&lt;&gt;0),M7/I7-1,"")</f>
        <v/>
      </c>
      <c r="N23" s="15">
        <f>IF(AND(J7&lt;&gt;"",J7&lt;&gt;0),N7/J7-1,"")</f>
        <v/>
      </c>
      <c r="O23" s="15">
        <f>IF(AND(K7&lt;&gt;"",K7&lt;&gt;0),O7/K7-1,"")</f>
        <v/>
      </c>
      <c r="P23" s="15">
        <f>IF(AND(L7&lt;&gt;"",L7&lt;&gt;0),P7/L7-1,"")</f>
        <v/>
      </c>
      <c r="Q23" s="15">
        <f>IF(AND(M7&lt;&gt;"",M7&lt;&gt;0),Q7/M7-1,"")</f>
        <v/>
      </c>
      <c r="R23" s="15">
        <f>IF(AND(N7&lt;&gt;"",N7&lt;&gt;0),R7/N7-1,"")</f>
        <v/>
      </c>
    </row>
    <row r="24">
      <c r="A24" s="13" t="inlineStr">
        <is>
          <t>D&amp;A YoY Growth %</t>
        </is>
      </c>
      <c r="F24" s="14">
        <f>IF(AND(B8&lt;&gt;"",B8&lt;&gt;0),F8/B8-1,"")</f>
        <v/>
      </c>
      <c r="G24" s="15">
        <f>IF(AND(C8&lt;&gt;"",C8&lt;&gt;0),G8/C8-1,"")</f>
        <v/>
      </c>
      <c r="H24" s="15">
        <f>IF(AND(D8&lt;&gt;"",D8&lt;&gt;0),H8/D8-1,"")</f>
        <v/>
      </c>
      <c r="I24" s="15">
        <f>IF(AND(E8&lt;&gt;"",E8&lt;&gt;0),I8/E8-1,"")</f>
        <v/>
      </c>
      <c r="J24" s="15">
        <f>IF(AND(F8&lt;&gt;"",F8&lt;&gt;0),J8/F8-1,"")</f>
        <v/>
      </c>
      <c r="K24" s="15">
        <f>IF(AND(G8&lt;&gt;"",G8&lt;&gt;0),K8/G8-1,"")</f>
        <v/>
      </c>
      <c r="L24" s="15">
        <f>IF(AND(H8&lt;&gt;"",H8&lt;&gt;0),L8/H8-1,"")</f>
        <v/>
      </c>
      <c r="M24" s="15">
        <f>IF(AND(I8&lt;&gt;"",I8&lt;&gt;0),M8/I8-1,"")</f>
        <v/>
      </c>
      <c r="N24" s="15">
        <f>IF(AND(J8&lt;&gt;"",J8&lt;&gt;0),N8/J8-1,"")</f>
        <v/>
      </c>
      <c r="O24" s="15">
        <f>IF(AND(K8&lt;&gt;"",K8&lt;&gt;0),O8/K8-1,"")</f>
        <v/>
      </c>
      <c r="P24" s="15">
        <f>IF(AND(L8&lt;&gt;"",L8&lt;&gt;0),P8/L8-1,"")</f>
        <v/>
      </c>
      <c r="Q24" s="15">
        <f>IF(AND(M8&lt;&gt;"",M8&lt;&gt;0),Q8/M8-1,"")</f>
        <v/>
      </c>
      <c r="R24" s="15">
        <f>IF(AND(N8&lt;&gt;"",N8&lt;&gt;0),R8/N8-1,"")</f>
        <v/>
      </c>
    </row>
    <row r="25">
      <c r="A25" s="13" t="inlineStr">
        <is>
          <t>EPS YoY Growth %</t>
        </is>
      </c>
      <c r="F25" s="14">
        <f>IF(AND(B9&lt;&gt;"",B9&lt;&gt;0),F9/B9-1,"")</f>
        <v/>
      </c>
      <c r="G25" s="15">
        <f>IF(AND(C9&lt;&gt;"",C9&lt;&gt;0),G9/C9-1,"")</f>
        <v/>
      </c>
      <c r="H25" s="15">
        <f>IF(AND(D9&lt;&gt;"",D9&lt;&gt;0),H9/D9-1,"")</f>
        <v/>
      </c>
      <c r="I25" s="15">
        <f>IF(AND(E9&lt;&gt;"",E9&lt;&gt;0),I9/E9-1,"")</f>
        <v/>
      </c>
      <c r="J25" s="15">
        <f>IF(AND(F9&lt;&gt;"",F9&lt;&gt;0),J9/F9-1,"")</f>
        <v/>
      </c>
      <c r="K25" s="15">
        <f>IF(AND(G9&lt;&gt;"",G9&lt;&gt;0),K9/G9-1,"")</f>
        <v/>
      </c>
      <c r="L25" s="15">
        <f>IF(AND(H9&lt;&gt;"",H9&lt;&gt;0),L9/H9-1,"")</f>
        <v/>
      </c>
      <c r="M25" s="15">
        <f>IF(AND(I9&lt;&gt;"",I9&lt;&gt;0),M9/I9-1,"")</f>
        <v/>
      </c>
      <c r="N25" s="15">
        <f>IF(AND(J9&lt;&gt;"",J9&lt;&gt;0),N9/J9-1,"")</f>
        <v/>
      </c>
      <c r="O25" s="15">
        <f>IF(AND(K9&lt;&gt;"",K9&lt;&gt;0),O9/K9-1,"")</f>
        <v/>
      </c>
      <c r="P25" s="15">
        <f>IF(AND(L9&lt;&gt;"",L9&lt;&gt;0),P9/L9-1,"")</f>
        <v/>
      </c>
      <c r="Q25" s="15">
        <f>IF(AND(M9&lt;&gt;"",M9&lt;&gt;0),Q9/M9-1,"")</f>
        <v/>
      </c>
      <c r="R25" s="15">
        <f>IF(AND(N9&lt;&gt;"",N9&lt;&gt;0),R9/N9-1,"")</f>
        <v/>
      </c>
    </row>
    <row r="26">
      <c r="A26" s="13" t="inlineStr">
        <is>
          <t>Diluted Shares YoY Growth %</t>
        </is>
      </c>
      <c r="F26" s="14">
        <f>IF(AND(B10&lt;&gt;"",B10&lt;&gt;0),F10/B10-1,"")</f>
        <v/>
      </c>
      <c r="G26" s="15">
        <f>IF(AND(C10&lt;&gt;"",C10&lt;&gt;0),G10/C10-1,"")</f>
        <v/>
      </c>
      <c r="H26" s="15">
        <f>IF(AND(D10&lt;&gt;"",D10&lt;&gt;0),H10/D10-1,"")</f>
        <v/>
      </c>
      <c r="I26" s="15">
        <f>IF(AND(E10&lt;&gt;"",E10&lt;&gt;0),I10/E10-1,"")</f>
        <v/>
      </c>
      <c r="J26" s="15">
        <f>IF(AND(F10&lt;&gt;"",F10&lt;&gt;0),J10/F10-1,"")</f>
        <v/>
      </c>
      <c r="K26" s="15">
        <f>IF(AND(G10&lt;&gt;"",G10&lt;&gt;0),K10/G10-1,"")</f>
        <v/>
      </c>
      <c r="L26" s="15">
        <f>IF(AND(H10&lt;&gt;"",H10&lt;&gt;0),L10/H10-1,"")</f>
        <v/>
      </c>
      <c r="M26" s="15">
        <f>IF(AND(I10&lt;&gt;"",I10&lt;&gt;0),M10/I10-1,"")</f>
        <v/>
      </c>
      <c r="N26" s="15">
        <f>IF(AND(J10&lt;&gt;"",J10&lt;&gt;0),N10/J10-1,"")</f>
        <v/>
      </c>
      <c r="O26" s="15">
        <f>IF(AND(K10&lt;&gt;"",K10&lt;&gt;0),O10/K10-1,"")</f>
        <v/>
      </c>
      <c r="P26" s="15">
        <f>IF(AND(L10&lt;&gt;"",L10&lt;&gt;0),P10/L10-1,"")</f>
        <v/>
      </c>
      <c r="Q26" s="15">
        <f>IF(AND(M10&lt;&gt;"",M10&lt;&gt;0),Q10/M10-1,"")</f>
        <v/>
      </c>
      <c r="R26" s="15">
        <f>IF(AND(N10&lt;&gt;"",N10&lt;&gt;0),R10/N10-1,"")</f>
        <v/>
      </c>
    </row>
    <row r="27">
      <c r="A27" s="13" t="inlineStr">
        <is>
          <t>Total Operating Expenses YoY Growth %</t>
        </is>
      </c>
      <c r="F27" s="14">
        <f>IF(AND(B11&lt;&gt;"",B11&lt;&gt;0),F11/B11-1,"")</f>
        <v/>
      </c>
      <c r="G27" s="15">
        <f>IF(AND(C11&lt;&gt;"",C11&lt;&gt;0),G11/C11-1,"")</f>
        <v/>
      </c>
      <c r="H27" s="15">
        <f>IF(AND(D11&lt;&gt;"",D11&lt;&gt;0),H11/D11-1,"")</f>
        <v/>
      </c>
      <c r="I27" s="15">
        <f>IF(AND(E11&lt;&gt;"",E11&lt;&gt;0),I11/E11-1,"")</f>
        <v/>
      </c>
      <c r="J27" s="15">
        <f>IF(AND(F11&lt;&gt;"",F11&lt;&gt;0),J11/F11-1,"")</f>
        <v/>
      </c>
      <c r="K27" s="15">
        <f>IF(AND(G11&lt;&gt;"",G11&lt;&gt;0),K11/G11-1,"")</f>
        <v/>
      </c>
      <c r="L27" s="15">
        <f>IF(AND(H11&lt;&gt;"",H11&lt;&gt;0),L11/H11-1,"")</f>
        <v/>
      </c>
      <c r="M27" s="15">
        <f>IF(AND(I11&lt;&gt;"",I11&lt;&gt;0),M11/I11-1,"")</f>
        <v/>
      </c>
      <c r="N27" s="15">
        <f>IF(AND(J11&lt;&gt;"",J11&lt;&gt;0),N11/J11-1,"")</f>
        <v/>
      </c>
      <c r="O27" s="15">
        <f>IF(AND(K11&lt;&gt;"",K11&lt;&gt;0),O11/K11-1,"")</f>
        <v/>
      </c>
      <c r="P27" s="15">
        <f>IF(AND(L11&lt;&gt;"",L11&lt;&gt;0),P11/L11-1,"")</f>
        <v/>
      </c>
      <c r="Q27" s="15">
        <f>IF(AND(M11&lt;&gt;"",M11&lt;&gt;0),Q11/M11-1,"")</f>
        <v/>
      </c>
      <c r="R27" s="15">
        <f>IF(AND(N11&lt;&gt;"",N11&lt;&gt;0),R11/N11-1,"")</f>
        <v/>
      </c>
    </row>
    <row r="28">
      <c r="A28" s="13" t="inlineStr">
        <is>
          <t>Pre-tax Income YoY Growth %</t>
        </is>
      </c>
      <c r="F28" s="14">
        <f>IF(AND(B12&lt;&gt;"",B12&lt;&gt;0),F12/B12-1,"")</f>
        <v/>
      </c>
      <c r="G28" s="15">
        <f>IF(AND(C12&lt;&gt;"",C12&lt;&gt;0),G12/C12-1,"")</f>
        <v/>
      </c>
      <c r="H28" s="15">
        <f>IF(AND(D12&lt;&gt;"",D12&lt;&gt;0),H12/D12-1,"")</f>
        <v/>
      </c>
      <c r="I28" s="15">
        <f>IF(AND(E12&lt;&gt;"",E12&lt;&gt;0),I12/E12-1,"")</f>
        <v/>
      </c>
      <c r="J28" s="15">
        <f>IF(AND(F12&lt;&gt;"",F12&lt;&gt;0),J12/F12-1,"")</f>
        <v/>
      </c>
      <c r="K28" s="15">
        <f>IF(AND(G12&lt;&gt;"",G12&lt;&gt;0),K12/G12-1,"")</f>
        <v/>
      </c>
      <c r="L28" s="15">
        <f>IF(AND(H12&lt;&gt;"",H12&lt;&gt;0),L12/H12-1,"")</f>
        <v/>
      </c>
      <c r="M28" s="15">
        <f>IF(AND(I12&lt;&gt;"",I12&lt;&gt;0),M12/I12-1,"")</f>
        <v/>
      </c>
      <c r="N28" s="15">
        <f>IF(AND(J12&lt;&gt;"",J12&lt;&gt;0),N12/J12-1,"")</f>
        <v/>
      </c>
      <c r="O28" s="15">
        <f>IF(AND(K12&lt;&gt;"",K12&lt;&gt;0),O12/K12-1,"")</f>
        <v/>
      </c>
      <c r="P28" s="15">
        <f>IF(AND(L12&lt;&gt;"",L12&lt;&gt;0),P12/L12-1,"")</f>
        <v/>
      </c>
      <c r="Q28" s="15">
        <f>IF(AND(M12&lt;&gt;"",M12&lt;&gt;0),Q12/M12-1,"")</f>
        <v/>
      </c>
      <c r="R28" s="15">
        <f>IF(AND(N12&lt;&gt;"",N12&lt;&gt;0),R12/N12-1,"")</f>
        <v/>
      </c>
    </row>
    <row r="29">
      <c r="A29" s="13" t="inlineStr">
        <is>
          <t>Tax Provision YoY Growth %</t>
        </is>
      </c>
      <c r="F29" s="14">
        <f>IF(AND(B13&lt;&gt;"",B13&lt;&gt;0),F13/B13-1,"")</f>
        <v/>
      </c>
      <c r="G29" s="15">
        <f>IF(AND(C13&lt;&gt;"",C13&lt;&gt;0),G13/C13-1,"")</f>
        <v/>
      </c>
      <c r="H29" s="15">
        <f>IF(AND(D13&lt;&gt;"",D13&lt;&gt;0),H13/D13-1,"")</f>
        <v/>
      </c>
      <c r="I29" s="15">
        <f>IF(AND(E13&lt;&gt;"",E13&lt;&gt;0),I13/E13-1,"")</f>
        <v/>
      </c>
      <c r="J29" s="15">
        <f>IF(AND(F13&lt;&gt;"",F13&lt;&gt;0),J13/F13-1,"")</f>
        <v/>
      </c>
      <c r="K29" s="15">
        <f>IF(AND(G13&lt;&gt;"",G13&lt;&gt;0),K13/G13-1,"")</f>
        <v/>
      </c>
      <c r="L29" s="15">
        <f>IF(AND(H13&lt;&gt;"",H13&lt;&gt;0),L13/H13-1,"")</f>
        <v/>
      </c>
      <c r="M29" s="15">
        <f>IF(AND(I13&lt;&gt;"",I13&lt;&gt;0),M13/I13-1,"")</f>
        <v/>
      </c>
      <c r="N29" s="15">
        <f>IF(AND(J13&lt;&gt;"",J13&lt;&gt;0),N13/J13-1,"")</f>
        <v/>
      </c>
      <c r="O29" s="15">
        <f>IF(AND(K13&lt;&gt;"",K13&lt;&gt;0),O13/K13-1,"")</f>
        <v/>
      </c>
      <c r="P29" s="15">
        <f>IF(AND(L13&lt;&gt;"",L13&lt;&gt;0),P13/L13-1,"")</f>
        <v/>
      </c>
      <c r="Q29" s="15">
        <f>IF(AND(M13&lt;&gt;"",M13&lt;&gt;0),Q13/M13-1,"")</f>
        <v/>
      </c>
      <c r="R29" s="15">
        <f>IF(AND(N13&lt;&gt;"",N13&lt;&gt;0),R13/N13-1,"")</f>
        <v/>
      </c>
    </row>
  </sheetData>
  <conditionalFormatting sqref="F18:R18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F19:R19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F20:R20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F21:R21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F22:R22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F23:R23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F24:R24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F25:R25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F26:R26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F27:R27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F28:R28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F29:R29">
    <cfRule type="cellIs" priority="23" operator="greaterThan" dxfId="0">
      <formula>0</formula>
    </cfRule>
    <cfRule type="cellIs" priority="24" operator="less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</cols>
  <sheetData>
    <row r="1">
      <c r="A1" s="2" t="inlineStr"/>
      <c r="B1" s="2" t="inlineStr">
        <is>
          <t>2024Q4</t>
        </is>
      </c>
      <c r="C1" s="2" t="inlineStr">
        <is>
          <t>2025Q1</t>
        </is>
      </c>
      <c r="D1" s="2" t="inlineStr">
        <is>
          <t>2025Q2</t>
        </is>
      </c>
      <c r="E1" s="2" t="inlineStr">
        <is>
          <t>2025Q3</t>
        </is>
      </c>
      <c r="F1" s="2" t="inlineStr">
        <is>
          <t>2025Q4</t>
        </is>
      </c>
      <c r="G1" s="2" t="inlineStr">
        <is>
          <t>2026Q1</t>
        </is>
      </c>
      <c r="H1" s="2" t="inlineStr">
        <is>
          <t>2026Q2</t>
        </is>
      </c>
      <c r="I1" s="2" t="inlineStr">
        <is>
          <t>2026Q3</t>
        </is>
      </c>
      <c r="J1" s="2" t="inlineStr">
        <is>
          <t>2026Q4</t>
        </is>
      </c>
      <c r="K1" s="2" t="inlineStr">
        <is>
          <t>2027Q1</t>
        </is>
      </c>
      <c r="L1" s="2" t="inlineStr">
        <is>
          <t>2027Q2</t>
        </is>
      </c>
      <c r="M1" s="2" t="inlineStr">
        <is>
          <t>2027Q3</t>
        </is>
      </c>
      <c r="N1" s="2" t="inlineStr">
        <is>
          <t>2027Q4</t>
        </is>
      </c>
      <c r="O1" s="2" t="inlineStr">
        <is>
          <t>2028Q1</t>
        </is>
      </c>
      <c r="P1" s="2" t="inlineStr">
        <is>
          <t>2028Q2</t>
        </is>
      </c>
      <c r="Q1" s="2" t="inlineStr">
        <is>
          <t>2028Q3</t>
        </is>
      </c>
      <c r="R1" s="2" t="inlineStr">
        <is>
          <t>2028Q4</t>
        </is>
      </c>
    </row>
    <row r="2">
      <c r="A2" s="3" t="inlineStr">
        <is>
          <t>Cash &amp; Equivalents</t>
        </is>
      </c>
      <c r="B2" s="9" t="n">
        <v>30299000000</v>
      </c>
      <c r="C2" s="9" t="n">
        <v>28162000000</v>
      </c>
      <c r="D2" s="9" t="n">
        <v>36269000000</v>
      </c>
      <c r="E2" s="9" t="n">
        <v>35934000000</v>
      </c>
      <c r="F2" s="9" t="n">
        <v>45317000000</v>
      </c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</row>
    <row r="3">
      <c r="A3" s="3" t="inlineStr">
        <is>
          <t>Short-term Investments</t>
        </is>
      </c>
      <c r="B3" s="9" t="n">
        <v>23476000000</v>
      </c>
      <c r="C3" s="9" t="n">
        <v>20336000000</v>
      </c>
      <c r="D3" s="9" t="n">
        <v>19103000000</v>
      </c>
      <c r="E3" s="9" t="n">
        <v>18763000000</v>
      </c>
      <c r="F3" s="9" t="n">
        <v>21590000000</v>
      </c>
      <c r="G3" s="10" t="n">
        <v>21590000000</v>
      </c>
      <c r="H3" s="10" t="n">
        <v>21590000000</v>
      </c>
      <c r="I3" s="10" t="n">
        <v>21590000000</v>
      </c>
      <c r="J3" s="10" t="n">
        <v>21590000000</v>
      </c>
      <c r="K3" s="10" t="n">
        <v>21590000000</v>
      </c>
      <c r="L3" s="10" t="n">
        <v>21590000000</v>
      </c>
      <c r="M3" s="10" t="n">
        <v>21590000000</v>
      </c>
      <c r="N3" s="10" t="n">
        <v>21590000000</v>
      </c>
      <c r="O3" s="10" t="n">
        <v>21590000000</v>
      </c>
      <c r="P3" s="10" t="n">
        <v>21590000000</v>
      </c>
      <c r="Q3" s="10" t="n">
        <v>21590000000</v>
      </c>
      <c r="R3" s="10" t="n">
        <v>21590000000</v>
      </c>
    </row>
    <row r="4">
      <c r="A4" s="3" t="inlineStr">
        <is>
          <t>Total Assets</t>
        </is>
      </c>
      <c r="B4" s="9" t="n">
        <v>344085000000</v>
      </c>
      <c r="C4" s="9" t="n">
        <v>331233000000</v>
      </c>
      <c r="D4" s="9" t="n">
        <v>331495000000</v>
      </c>
      <c r="E4" s="9" t="n">
        <v>359241000000</v>
      </c>
      <c r="F4" s="9" t="n">
        <v>379297000000</v>
      </c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</row>
    <row r="5">
      <c r="A5" s="3" t="inlineStr">
        <is>
          <t>Total Liabilities</t>
        </is>
      </c>
      <c r="B5" s="9" t="n">
        <v>277327000000</v>
      </c>
      <c r="C5" s="9" t="n">
        <v>264437000000</v>
      </c>
      <c r="D5" s="9" t="n">
        <v>265665000000</v>
      </c>
      <c r="E5" s="9" t="n">
        <v>285508000000</v>
      </c>
      <c r="F5" s="9" t="n">
        <v>291107000000</v>
      </c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  <c r="P5" s="10" t="n"/>
      <c r="Q5" s="10" t="n"/>
      <c r="R5" s="10" t="n"/>
    </row>
    <row r="6">
      <c r="A6" s="3" t="inlineStr">
        <is>
          <t>Total Shareholders Equity</t>
        </is>
      </c>
      <c r="B6" s="9" t="n">
        <v>66758000000</v>
      </c>
      <c r="C6" s="9" t="n">
        <v>66796000000</v>
      </c>
      <c r="D6" s="9" t="n">
        <v>65830000000</v>
      </c>
      <c r="E6" s="9" t="n">
        <v>73733000000</v>
      </c>
      <c r="F6" s="9" t="n">
        <v>88190000000</v>
      </c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  <c r="Q6" s="10" t="n"/>
      <c r="R6" s="10" t="n"/>
    </row>
    <row r="7">
      <c r="A7" s="3" t="inlineStr">
        <is>
          <t>Total Debt</t>
        </is>
      </c>
      <c r="B7" s="9" t="n">
        <v>96799000000</v>
      </c>
      <c r="C7" s="9" t="n">
        <v>98186000000</v>
      </c>
      <c r="D7" s="9" t="n">
        <v>101698000000</v>
      </c>
      <c r="E7" s="9" t="n">
        <v>98657000000</v>
      </c>
      <c r="F7" s="9" t="n">
        <v>90509000000</v>
      </c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</row>
    <row r="8">
      <c r="A8" s="3" t="inlineStr">
        <is>
          <t>Total Current Assets</t>
        </is>
      </c>
      <c r="B8" s="9" t="n"/>
      <c r="C8" s="9" t="n"/>
      <c r="D8" s="9" t="n"/>
      <c r="E8" s="9" t="n"/>
      <c r="F8" s="9" t="n"/>
      <c r="G8" s="10" t="n">
        <v>21590000000</v>
      </c>
      <c r="H8" s="10" t="n">
        <v>21590000000</v>
      </c>
      <c r="I8" s="10" t="n">
        <v>21590000000</v>
      </c>
      <c r="J8" s="10" t="n">
        <v>21590000000</v>
      </c>
      <c r="K8" s="10" t="n">
        <v>21590000000</v>
      </c>
      <c r="L8" s="10" t="n">
        <v>21590000000</v>
      </c>
      <c r="M8" s="10" t="n">
        <v>21590000000</v>
      </c>
      <c r="N8" s="10" t="n">
        <v>21590000000</v>
      </c>
      <c r="O8" s="10" t="n">
        <v>21590000000</v>
      </c>
      <c r="P8" s="10" t="n">
        <v>21590000000</v>
      </c>
      <c r="Q8" s="10" t="n">
        <v>21590000000</v>
      </c>
      <c r="R8" s="10" t="n">
        <v>21590000000</v>
      </c>
    </row>
    <row r="9"/>
    <row r="10">
      <c r="A10" s="13" t="inlineStr">
        <is>
          <t>Cash &amp; Equivalents YoY Growth %</t>
        </is>
      </c>
      <c r="F10" s="14">
        <f>IF(AND(B2&lt;&gt;"",B2&lt;&gt;0),F2/B2-1,"")</f>
        <v/>
      </c>
      <c r="G10" s="15">
        <f>IF(AND(C2&lt;&gt;"",C2&lt;&gt;0),G2/C2-1,"")</f>
        <v/>
      </c>
      <c r="H10" s="15">
        <f>IF(AND(D2&lt;&gt;"",D2&lt;&gt;0),H2/D2-1,"")</f>
        <v/>
      </c>
      <c r="I10" s="15">
        <f>IF(AND(E2&lt;&gt;"",E2&lt;&gt;0),I2/E2-1,"")</f>
        <v/>
      </c>
      <c r="J10" s="15">
        <f>IF(AND(F2&lt;&gt;"",F2&lt;&gt;0),J2/F2-1,"")</f>
        <v/>
      </c>
      <c r="K10" s="15">
        <f>IF(AND(G2&lt;&gt;"",G2&lt;&gt;0),K2/G2-1,"")</f>
        <v/>
      </c>
      <c r="L10" s="15">
        <f>IF(AND(H2&lt;&gt;"",H2&lt;&gt;0),L2/H2-1,"")</f>
        <v/>
      </c>
      <c r="M10" s="15">
        <f>IF(AND(I2&lt;&gt;"",I2&lt;&gt;0),M2/I2-1,"")</f>
        <v/>
      </c>
      <c r="N10" s="15">
        <f>IF(AND(J2&lt;&gt;"",J2&lt;&gt;0),N2/J2-1,"")</f>
        <v/>
      </c>
      <c r="O10" s="15">
        <f>IF(AND(K2&lt;&gt;"",K2&lt;&gt;0),O2/K2-1,"")</f>
        <v/>
      </c>
      <c r="P10" s="15">
        <f>IF(AND(L2&lt;&gt;"",L2&lt;&gt;0),P2/L2-1,"")</f>
        <v/>
      </c>
      <c r="Q10" s="15">
        <f>IF(AND(M2&lt;&gt;"",M2&lt;&gt;0),Q2/M2-1,"")</f>
        <v/>
      </c>
      <c r="R10" s="15">
        <f>IF(AND(N2&lt;&gt;"",N2&lt;&gt;0),R2/N2-1,"")</f>
        <v/>
      </c>
    </row>
    <row r="11">
      <c r="A11" s="13" t="inlineStr">
        <is>
          <t>Short-term Investments YoY Growth %</t>
        </is>
      </c>
      <c r="F11" s="14">
        <f>IF(AND(B3&lt;&gt;"",B3&lt;&gt;0),F3/B3-1,"")</f>
        <v/>
      </c>
      <c r="G11" s="15">
        <f>IF(AND(C3&lt;&gt;"",C3&lt;&gt;0),G3/C3-1,"")</f>
        <v/>
      </c>
      <c r="H11" s="15">
        <f>IF(AND(D3&lt;&gt;"",D3&lt;&gt;0),H3/D3-1,"")</f>
        <v/>
      </c>
      <c r="I11" s="15">
        <f>IF(AND(E3&lt;&gt;"",E3&lt;&gt;0),I3/E3-1,"")</f>
        <v/>
      </c>
      <c r="J11" s="15">
        <f>IF(AND(F3&lt;&gt;"",F3&lt;&gt;0),J3/F3-1,"")</f>
        <v/>
      </c>
      <c r="K11" s="15">
        <f>IF(AND(G3&lt;&gt;"",G3&lt;&gt;0),K3/G3-1,"")</f>
        <v/>
      </c>
      <c r="L11" s="15">
        <f>IF(AND(H3&lt;&gt;"",H3&lt;&gt;0),L3/H3-1,"")</f>
        <v/>
      </c>
      <c r="M11" s="15">
        <f>IF(AND(I3&lt;&gt;"",I3&lt;&gt;0),M3/I3-1,"")</f>
        <v/>
      </c>
      <c r="N11" s="15">
        <f>IF(AND(J3&lt;&gt;"",J3&lt;&gt;0),N3/J3-1,"")</f>
        <v/>
      </c>
      <c r="O11" s="15">
        <f>IF(AND(K3&lt;&gt;"",K3&lt;&gt;0),O3/K3-1,"")</f>
        <v/>
      </c>
      <c r="P11" s="15">
        <f>IF(AND(L3&lt;&gt;"",L3&lt;&gt;0),P3/L3-1,"")</f>
        <v/>
      </c>
      <c r="Q11" s="15">
        <f>IF(AND(M3&lt;&gt;"",M3&lt;&gt;0),Q3/M3-1,"")</f>
        <v/>
      </c>
      <c r="R11" s="15">
        <f>IF(AND(N3&lt;&gt;"",N3&lt;&gt;0),R3/N3-1,"")</f>
        <v/>
      </c>
    </row>
    <row r="12">
      <c r="A12" s="13" t="inlineStr">
        <is>
          <t>Total Assets YoY Growth %</t>
        </is>
      </c>
      <c r="F12" s="14">
        <f>IF(AND(B4&lt;&gt;"",B4&lt;&gt;0),F4/B4-1,"")</f>
        <v/>
      </c>
      <c r="G12" s="15">
        <f>IF(AND(C4&lt;&gt;"",C4&lt;&gt;0),G4/C4-1,"")</f>
        <v/>
      </c>
      <c r="H12" s="15">
        <f>IF(AND(D4&lt;&gt;"",D4&lt;&gt;0),H4/D4-1,"")</f>
        <v/>
      </c>
      <c r="I12" s="15">
        <f>IF(AND(E4&lt;&gt;"",E4&lt;&gt;0),I4/E4-1,"")</f>
        <v/>
      </c>
      <c r="J12" s="15">
        <f>IF(AND(F4&lt;&gt;"",F4&lt;&gt;0),J4/F4-1,"")</f>
        <v/>
      </c>
      <c r="K12" s="15">
        <f>IF(AND(G4&lt;&gt;"",G4&lt;&gt;0),K4/G4-1,"")</f>
        <v/>
      </c>
      <c r="L12" s="15">
        <f>IF(AND(H4&lt;&gt;"",H4&lt;&gt;0),L4/H4-1,"")</f>
        <v/>
      </c>
      <c r="M12" s="15">
        <f>IF(AND(I4&lt;&gt;"",I4&lt;&gt;0),M4/I4-1,"")</f>
        <v/>
      </c>
      <c r="N12" s="15">
        <f>IF(AND(J4&lt;&gt;"",J4&lt;&gt;0),N4/J4-1,"")</f>
        <v/>
      </c>
      <c r="O12" s="15">
        <f>IF(AND(K4&lt;&gt;"",K4&lt;&gt;0),O4/K4-1,"")</f>
        <v/>
      </c>
      <c r="P12" s="15">
        <f>IF(AND(L4&lt;&gt;"",L4&lt;&gt;0),P4/L4-1,"")</f>
        <v/>
      </c>
      <c r="Q12" s="15">
        <f>IF(AND(M4&lt;&gt;"",M4&lt;&gt;0),Q4/M4-1,"")</f>
        <v/>
      </c>
      <c r="R12" s="15">
        <f>IF(AND(N4&lt;&gt;"",N4&lt;&gt;0),R4/N4-1,"")</f>
        <v/>
      </c>
    </row>
    <row r="13">
      <c r="A13" s="13" t="inlineStr">
        <is>
          <t>Total Liabilities YoY Growth %</t>
        </is>
      </c>
      <c r="F13" s="14">
        <f>IF(AND(B5&lt;&gt;"",B5&lt;&gt;0),F5/B5-1,"")</f>
        <v/>
      </c>
      <c r="G13" s="15">
        <f>IF(AND(C5&lt;&gt;"",C5&lt;&gt;0),G5/C5-1,"")</f>
        <v/>
      </c>
      <c r="H13" s="15">
        <f>IF(AND(D5&lt;&gt;"",D5&lt;&gt;0),H5/D5-1,"")</f>
        <v/>
      </c>
      <c r="I13" s="15">
        <f>IF(AND(E5&lt;&gt;"",E5&lt;&gt;0),I5/E5-1,"")</f>
        <v/>
      </c>
      <c r="J13" s="15">
        <f>IF(AND(F5&lt;&gt;"",F5&lt;&gt;0),J5/F5-1,"")</f>
        <v/>
      </c>
      <c r="K13" s="15">
        <f>IF(AND(G5&lt;&gt;"",G5&lt;&gt;0),K5/G5-1,"")</f>
        <v/>
      </c>
      <c r="L13" s="15">
        <f>IF(AND(H5&lt;&gt;"",H5&lt;&gt;0),L5/H5-1,"")</f>
        <v/>
      </c>
      <c r="M13" s="15">
        <f>IF(AND(I5&lt;&gt;"",I5&lt;&gt;0),M5/I5-1,"")</f>
        <v/>
      </c>
      <c r="N13" s="15">
        <f>IF(AND(J5&lt;&gt;"",J5&lt;&gt;0),N5/J5-1,"")</f>
        <v/>
      </c>
      <c r="O13" s="15">
        <f>IF(AND(K5&lt;&gt;"",K5&lt;&gt;0),O5/K5-1,"")</f>
        <v/>
      </c>
      <c r="P13" s="15">
        <f>IF(AND(L5&lt;&gt;"",L5&lt;&gt;0),P5/L5-1,"")</f>
        <v/>
      </c>
      <c r="Q13" s="15">
        <f>IF(AND(M5&lt;&gt;"",M5&lt;&gt;0),Q5/M5-1,"")</f>
        <v/>
      </c>
      <c r="R13" s="15">
        <f>IF(AND(N5&lt;&gt;"",N5&lt;&gt;0),R5/N5-1,"")</f>
        <v/>
      </c>
    </row>
    <row r="14">
      <c r="A14" s="13" t="inlineStr">
        <is>
          <t>Total Shareholders Equity YoY Growth %</t>
        </is>
      </c>
      <c r="F14" s="14">
        <f>IF(AND(B6&lt;&gt;"",B6&lt;&gt;0),F6/B6-1,"")</f>
        <v/>
      </c>
      <c r="G14" s="15">
        <f>IF(AND(C6&lt;&gt;"",C6&lt;&gt;0),G6/C6-1,"")</f>
        <v/>
      </c>
      <c r="H14" s="15">
        <f>IF(AND(D6&lt;&gt;"",D6&lt;&gt;0),H6/D6-1,"")</f>
        <v/>
      </c>
      <c r="I14" s="15">
        <f>IF(AND(E6&lt;&gt;"",E6&lt;&gt;0),I6/E6-1,"")</f>
        <v/>
      </c>
      <c r="J14" s="15">
        <f>IF(AND(F6&lt;&gt;"",F6&lt;&gt;0),J6/F6-1,"")</f>
        <v/>
      </c>
      <c r="K14" s="15">
        <f>IF(AND(G6&lt;&gt;"",G6&lt;&gt;0),K6/G6-1,"")</f>
        <v/>
      </c>
      <c r="L14" s="15">
        <f>IF(AND(H6&lt;&gt;"",H6&lt;&gt;0),L6/H6-1,"")</f>
        <v/>
      </c>
      <c r="M14" s="15">
        <f>IF(AND(I6&lt;&gt;"",I6&lt;&gt;0),M6/I6-1,"")</f>
        <v/>
      </c>
      <c r="N14" s="15">
        <f>IF(AND(J6&lt;&gt;"",J6&lt;&gt;0),N6/J6-1,"")</f>
        <v/>
      </c>
      <c r="O14" s="15">
        <f>IF(AND(K6&lt;&gt;"",K6&lt;&gt;0),O6/K6-1,"")</f>
        <v/>
      </c>
      <c r="P14" s="15">
        <f>IF(AND(L6&lt;&gt;"",L6&lt;&gt;0),P6/L6-1,"")</f>
        <v/>
      </c>
      <c r="Q14" s="15">
        <f>IF(AND(M6&lt;&gt;"",M6&lt;&gt;0),Q6/M6-1,"")</f>
        <v/>
      </c>
      <c r="R14" s="15">
        <f>IF(AND(N6&lt;&gt;"",N6&lt;&gt;0),R6/N6-1,"")</f>
        <v/>
      </c>
    </row>
    <row r="15">
      <c r="A15" s="13" t="inlineStr">
        <is>
          <t>Total Debt YoY Growth %</t>
        </is>
      </c>
      <c r="F15" s="14">
        <f>IF(AND(B7&lt;&gt;"",B7&lt;&gt;0),F7/B7-1,"")</f>
        <v/>
      </c>
      <c r="G15" s="15">
        <f>IF(AND(C7&lt;&gt;"",C7&lt;&gt;0),G7/C7-1,"")</f>
        <v/>
      </c>
      <c r="H15" s="15">
        <f>IF(AND(D7&lt;&gt;"",D7&lt;&gt;0),H7/D7-1,"")</f>
        <v/>
      </c>
      <c r="I15" s="15">
        <f>IF(AND(E7&lt;&gt;"",E7&lt;&gt;0),I7/E7-1,"")</f>
        <v/>
      </c>
      <c r="J15" s="15">
        <f>IF(AND(F7&lt;&gt;"",F7&lt;&gt;0),J7/F7-1,"")</f>
        <v/>
      </c>
      <c r="K15" s="15">
        <f>IF(AND(G7&lt;&gt;"",G7&lt;&gt;0),K7/G7-1,"")</f>
        <v/>
      </c>
      <c r="L15" s="15">
        <f>IF(AND(H7&lt;&gt;"",H7&lt;&gt;0),L7/H7-1,"")</f>
        <v/>
      </c>
      <c r="M15" s="15">
        <f>IF(AND(I7&lt;&gt;"",I7&lt;&gt;0),M7/I7-1,"")</f>
        <v/>
      </c>
      <c r="N15" s="15">
        <f>IF(AND(J7&lt;&gt;"",J7&lt;&gt;0),N7/J7-1,"")</f>
        <v/>
      </c>
      <c r="O15" s="15">
        <f>IF(AND(K7&lt;&gt;"",K7&lt;&gt;0),O7/K7-1,"")</f>
        <v/>
      </c>
      <c r="P15" s="15">
        <f>IF(AND(L7&lt;&gt;"",L7&lt;&gt;0),P7/L7-1,"")</f>
        <v/>
      </c>
      <c r="Q15" s="15">
        <f>IF(AND(M7&lt;&gt;"",M7&lt;&gt;0),Q7/M7-1,"")</f>
        <v/>
      </c>
      <c r="R15" s="15">
        <f>IF(AND(N7&lt;&gt;"",N7&lt;&gt;0),R7/N7-1,"")</f>
        <v/>
      </c>
    </row>
    <row r="16">
      <c r="A16" s="13" t="inlineStr">
        <is>
          <t>Total Current Assets YoY Growth %</t>
        </is>
      </c>
      <c r="F16" s="14">
        <f>IF(AND(B8&lt;&gt;"",B8&lt;&gt;0),F8/B8-1,"")</f>
        <v/>
      </c>
      <c r="G16" s="15">
        <f>IF(AND(C8&lt;&gt;"",C8&lt;&gt;0),G8/C8-1,"")</f>
        <v/>
      </c>
      <c r="H16" s="15">
        <f>IF(AND(D8&lt;&gt;"",D8&lt;&gt;0),H8/D8-1,"")</f>
        <v/>
      </c>
      <c r="I16" s="15">
        <f>IF(AND(E8&lt;&gt;"",E8&lt;&gt;0),I8/E8-1,"")</f>
        <v/>
      </c>
      <c r="J16" s="15">
        <f>IF(AND(F8&lt;&gt;"",F8&lt;&gt;0),J8/F8-1,"")</f>
        <v/>
      </c>
      <c r="K16" s="15">
        <f>IF(AND(G8&lt;&gt;"",G8&lt;&gt;0),K8/G8-1,"")</f>
        <v/>
      </c>
      <c r="L16" s="15">
        <f>IF(AND(H8&lt;&gt;"",H8&lt;&gt;0),L8/H8-1,"")</f>
        <v/>
      </c>
      <c r="M16" s="15">
        <f>IF(AND(I8&lt;&gt;"",I8&lt;&gt;0),M8/I8-1,"")</f>
        <v/>
      </c>
      <c r="N16" s="15">
        <f>IF(AND(J8&lt;&gt;"",J8&lt;&gt;0),N8/J8-1,"")</f>
        <v/>
      </c>
      <c r="O16" s="15">
        <f>IF(AND(K8&lt;&gt;"",K8&lt;&gt;0),O8/K8-1,"")</f>
        <v/>
      </c>
      <c r="P16" s="15">
        <f>IF(AND(L8&lt;&gt;"",L8&lt;&gt;0),P8/L8-1,"")</f>
        <v/>
      </c>
      <c r="Q16" s="15">
        <f>IF(AND(M8&lt;&gt;"",M8&lt;&gt;0),Q8/M8-1,"")</f>
        <v/>
      </c>
      <c r="R16" s="15">
        <f>IF(AND(N8&lt;&gt;"",N8&lt;&gt;0),R8/N8-1,"")</f>
        <v/>
      </c>
    </row>
  </sheetData>
  <conditionalFormatting sqref="F10:R10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F11:R11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F12:R12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F13:R13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F14:R14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F15:R15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F16:R16">
    <cfRule type="cellIs" priority="13" operator="greaterThan" dxfId="0">
      <formula>0</formula>
    </cfRule>
    <cfRule type="cellIs" priority="14" operator="lessThan" dxfId="1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</cols>
  <sheetData>
    <row r="1">
      <c r="A1" s="2" t="inlineStr"/>
      <c r="B1" s="2" t="inlineStr">
        <is>
          <t>2024Q4</t>
        </is>
      </c>
      <c r="C1" s="2" t="inlineStr">
        <is>
          <t>2025Q1</t>
        </is>
      </c>
      <c r="D1" s="2" t="inlineStr">
        <is>
          <t>2025Q2</t>
        </is>
      </c>
      <c r="E1" s="2" t="inlineStr">
        <is>
          <t>2025Q3</t>
        </is>
      </c>
      <c r="F1" s="2" t="inlineStr">
        <is>
          <t>2025Q4</t>
        </is>
      </c>
      <c r="G1" s="2" t="inlineStr">
        <is>
          <t>2026Q1</t>
        </is>
      </c>
      <c r="H1" s="2" t="inlineStr">
        <is>
          <t>2026Q2</t>
        </is>
      </c>
      <c r="I1" s="2" t="inlineStr">
        <is>
          <t>2026Q3</t>
        </is>
      </c>
      <c r="J1" s="2" t="inlineStr">
        <is>
          <t>2026Q4</t>
        </is>
      </c>
      <c r="K1" s="2" t="inlineStr">
        <is>
          <t>2027Q1</t>
        </is>
      </c>
      <c r="L1" s="2" t="inlineStr">
        <is>
          <t>2027Q2</t>
        </is>
      </c>
      <c r="M1" s="2" t="inlineStr">
        <is>
          <t>2027Q3</t>
        </is>
      </c>
      <c r="N1" s="2" t="inlineStr">
        <is>
          <t>2027Q4</t>
        </is>
      </c>
      <c r="O1" s="2" t="inlineStr">
        <is>
          <t>2028Q1</t>
        </is>
      </c>
      <c r="P1" s="2" t="inlineStr">
        <is>
          <t>2028Q2</t>
        </is>
      </c>
      <c r="Q1" s="2" t="inlineStr">
        <is>
          <t>2028Q3</t>
        </is>
      </c>
      <c r="R1" s="2" t="inlineStr">
        <is>
          <t>2028Q4</t>
        </is>
      </c>
    </row>
    <row r="2">
      <c r="A2" s="3" t="inlineStr">
        <is>
          <t>Operating Cash Flow</t>
        </is>
      </c>
      <c r="B2" s="9" t="n">
        <v>29935000000</v>
      </c>
      <c r="C2" s="9" t="n">
        <v>23952000000</v>
      </c>
      <c r="D2" s="9" t="n">
        <v>27867000000</v>
      </c>
      <c r="E2" s="9" t="n">
        <v>29728000000</v>
      </c>
      <c r="F2" s="9" t="n">
        <v>53925000000</v>
      </c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</row>
    <row r="3">
      <c r="A3" s="3" t="inlineStr">
        <is>
          <t>Capital Expenditures</t>
        </is>
      </c>
      <c r="B3" s="9" t="n">
        <v>-2940000000</v>
      </c>
      <c r="C3" s="9" t="n">
        <v>-3071000000</v>
      </c>
      <c r="D3" s="9" t="n">
        <v>-3462000000</v>
      </c>
      <c r="E3" s="9" t="n">
        <v>-3242000000</v>
      </c>
      <c r="F3" s="9" t="n">
        <v>-2373000000</v>
      </c>
      <c r="G3" s="10" t="n">
        <v>-3025036119</v>
      </c>
      <c r="H3" s="10" t="n">
        <v>-2940763341</v>
      </c>
      <c r="I3" s="10" t="n">
        <v>-3165210806</v>
      </c>
      <c r="J3" s="10" t="n">
        <v>-4393948500</v>
      </c>
      <c r="K3" s="10" t="n">
        <v>-3215721801</v>
      </c>
      <c r="L3" s="10" t="n">
        <v>-3146521350</v>
      </c>
      <c r="M3" s="10" t="n">
        <v>-3405824595</v>
      </c>
      <c r="N3" s="10" t="n">
        <v>-4751090304</v>
      </c>
      <c r="O3" s="10" t="n">
        <v>-3366816263</v>
      </c>
      <c r="P3" s="10" t="n">
        <v>-3306328040</v>
      </c>
      <c r="Q3" s="10" t="n">
        <v>-3589968220</v>
      </c>
      <c r="R3" s="10" t="n">
        <v>-5021375076</v>
      </c>
    </row>
    <row r="4">
      <c r="A4" s="3" t="inlineStr">
        <is>
          <t>Free Cash Flow</t>
        </is>
      </c>
      <c r="B4" s="9" t="n">
        <v>26995000000</v>
      </c>
      <c r="C4" s="9" t="n">
        <v>20881000000</v>
      </c>
      <c r="D4" s="9" t="n">
        <v>24405000000</v>
      </c>
      <c r="E4" s="9" t="n">
        <v>26486000000</v>
      </c>
      <c r="F4" s="9" t="n">
        <v>51552000000</v>
      </c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</row>
    <row r="5">
      <c r="A5" s="3" t="inlineStr">
        <is>
          <t>Depreciation &amp; Amortization</t>
        </is>
      </c>
      <c r="B5" s="9" t="n">
        <v>3080000000</v>
      </c>
      <c r="C5" s="9" t="n">
        <v>2661000000</v>
      </c>
      <c r="D5" s="9" t="n">
        <v>2830000000</v>
      </c>
      <c r="E5" s="9" t="n">
        <v>3127000000</v>
      </c>
      <c r="F5" s="9" t="n">
        <v>3214000000</v>
      </c>
      <c r="G5" s="10" t="n">
        <v>3006789779</v>
      </c>
      <c r="H5" s="10" t="n">
        <v>2923025316</v>
      </c>
      <c r="I5" s="10" t="n">
        <v>3146118963</v>
      </c>
      <c r="J5" s="10" t="n">
        <v>4367445187</v>
      </c>
      <c r="K5" s="10" t="n">
        <v>3196325287</v>
      </c>
      <c r="L5" s="10" t="n">
        <v>3127542238</v>
      </c>
      <c r="M5" s="10" t="n">
        <v>3385281423</v>
      </c>
      <c r="N5" s="10" t="n">
        <v>4722432791</v>
      </c>
      <c r="O5" s="10" t="n">
        <v>3346508382</v>
      </c>
      <c r="P5" s="10" t="n">
        <v>3286385009</v>
      </c>
      <c r="Q5" s="10" t="n">
        <v>3568314336</v>
      </c>
      <c r="R5" s="10" t="n">
        <v>4991087266</v>
      </c>
    </row>
    <row r="6">
      <c r="A6" s="3" t="inlineStr">
        <is>
          <t>Share Repurchases</t>
        </is>
      </c>
      <c r="B6" s="9" t="n">
        <v>-23606000000</v>
      </c>
      <c r="C6" s="9" t="n">
        <v>-25898000000</v>
      </c>
      <c r="D6" s="9" t="n">
        <v>-21075000000</v>
      </c>
      <c r="E6" s="9" t="n">
        <v>-20132000000</v>
      </c>
      <c r="F6" s="9" t="n">
        <v>-24701000000</v>
      </c>
      <c r="G6" s="10" t="n">
        <v>-22951500000</v>
      </c>
      <c r="H6" s="10" t="n">
        <v>-22951500000</v>
      </c>
      <c r="I6" s="10" t="n">
        <v>-22951500000</v>
      </c>
      <c r="J6" s="10" t="n">
        <v>-22951500000</v>
      </c>
      <c r="K6" s="10" t="n">
        <v>-22951500000</v>
      </c>
      <c r="L6" s="10" t="n">
        <v>-22951500000</v>
      </c>
      <c r="M6" s="10" t="n">
        <v>-22951500000</v>
      </c>
      <c r="N6" s="10" t="n">
        <v>-22951500000</v>
      </c>
      <c r="O6" s="10" t="n">
        <v>-22951500000</v>
      </c>
      <c r="P6" s="10" t="n">
        <v>-22951500000</v>
      </c>
      <c r="Q6" s="10" t="n">
        <v>-22951500000</v>
      </c>
      <c r="R6" s="10" t="n">
        <v>-22951500000</v>
      </c>
    </row>
    <row r="7">
      <c r="A7" s="3" t="inlineStr">
        <is>
          <t>Dividends Paid</t>
        </is>
      </c>
      <c r="B7" s="9" t="n">
        <v>-3856000000</v>
      </c>
      <c r="C7" s="9" t="n">
        <v>-3758000000</v>
      </c>
      <c r="D7" s="9" t="n">
        <v>-3945000000</v>
      </c>
      <c r="E7" s="9" t="n">
        <v>-3862000000</v>
      </c>
      <c r="F7" s="9" t="n">
        <v>-3921000000</v>
      </c>
      <c r="G7" s="10" t="n">
        <v>-3871500000</v>
      </c>
      <c r="H7" s="10" t="n">
        <v>-3871500000</v>
      </c>
      <c r="I7" s="10" t="n">
        <v>-3871500000</v>
      </c>
      <c r="J7" s="10" t="n">
        <v>-3871500000</v>
      </c>
      <c r="K7" s="10" t="n">
        <v>-3871500000</v>
      </c>
      <c r="L7" s="10" t="n">
        <v>-3871500000</v>
      </c>
      <c r="M7" s="10" t="n">
        <v>-3871500000</v>
      </c>
      <c r="N7" s="10" t="n">
        <v>-3871500000</v>
      </c>
      <c r="O7" s="10" t="n">
        <v>-3871500000</v>
      </c>
      <c r="P7" s="10" t="n">
        <v>-3871500000</v>
      </c>
      <c r="Q7" s="10" t="n">
        <v>-3871500000</v>
      </c>
      <c r="R7" s="10" t="n">
        <v>-3871500000</v>
      </c>
    </row>
    <row r="8">
      <c r="A8" s="3" t="inlineStr">
        <is>
          <t>Net Cash from Investing</t>
        </is>
      </c>
      <c r="B8" s="9" t="n"/>
      <c r="C8" s="9" t="n"/>
      <c r="D8" s="9" t="n"/>
      <c r="E8" s="9" t="n"/>
      <c r="F8" s="9" t="n"/>
      <c r="G8" s="10" t="n">
        <v>-3025036119</v>
      </c>
      <c r="H8" s="10" t="n">
        <v>-2940763341</v>
      </c>
      <c r="I8" s="10" t="n">
        <v>-3165210806</v>
      </c>
      <c r="J8" s="10" t="n">
        <v>-4393948500</v>
      </c>
      <c r="K8" s="10" t="n">
        <v>-3215721801</v>
      </c>
      <c r="L8" s="10" t="n">
        <v>-3146521350</v>
      </c>
      <c r="M8" s="10" t="n">
        <v>-3405824595</v>
      </c>
      <c r="N8" s="10" t="n">
        <v>-4751090304</v>
      </c>
      <c r="O8" s="10" t="n">
        <v>-3366816263</v>
      </c>
      <c r="P8" s="10" t="n">
        <v>-3306328040</v>
      </c>
      <c r="Q8" s="10" t="n">
        <v>-3589968220</v>
      </c>
      <c r="R8" s="10" t="n">
        <v>-5021375076</v>
      </c>
    </row>
    <row r="9">
      <c r="A9" s="3" t="inlineStr">
        <is>
          <t>Net Cash from Financing</t>
        </is>
      </c>
      <c r="B9" s="9" t="n"/>
      <c r="C9" s="9" t="n"/>
      <c r="D9" s="9" t="n"/>
      <c r="E9" s="9" t="n"/>
      <c r="F9" s="9" t="n"/>
      <c r="G9" s="10" t="n">
        <v>-26823000000</v>
      </c>
      <c r="H9" s="10" t="n">
        <v>-26823000000</v>
      </c>
      <c r="I9" s="10" t="n">
        <v>-26823000000</v>
      </c>
      <c r="J9" s="10" t="n">
        <v>-26823000000</v>
      </c>
      <c r="K9" s="10" t="n">
        <v>-26823000000</v>
      </c>
      <c r="L9" s="10" t="n">
        <v>-26823000000</v>
      </c>
      <c r="M9" s="10" t="n">
        <v>-26823000000</v>
      </c>
      <c r="N9" s="10" t="n">
        <v>-26823000000</v>
      </c>
      <c r="O9" s="10" t="n">
        <v>-26823000000</v>
      </c>
      <c r="P9" s="10" t="n">
        <v>-26823000000</v>
      </c>
      <c r="Q9" s="10" t="n">
        <v>-26823000000</v>
      </c>
      <c r="R9" s="10" t="n">
        <v>-26823000000</v>
      </c>
    </row>
    <row r="10">
      <c r="A10" s="13" t="inlineStr">
        <is>
          <t>FCF Margin %</t>
        </is>
      </c>
      <c r="B10" s="14">
        <f>IF(B2&lt;&gt;0,B4/B2,"")</f>
        <v/>
      </c>
      <c r="C10" s="14">
        <f>IF(C2&lt;&gt;0,C4/C2,"")</f>
        <v/>
      </c>
      <c r="D10" s="14">
        <f>IF(D2&lt;&gt;0,D4/D2,"")</f>
        <v/>
      </c>
      <c r="E10" s="14">
        <f>IF(E2&lt;&gt;0,E4/E2,"")</f>
        <v/>
      </c>
      <c r="F10" s="14">
        <f>IF(F2&lt;&gt;0,F4/F2,"")</f>
        <v/>
      </c>
      <c r="G10" s="15">
        <f>IF(G2&lt;&gt;0,G4/G2,"")</f>
        <v/>
      </c>
      <c r="H10" s="15">
        <f>IF(H2&lt;&gt;0,H4/H2,"")</f>
        <v/>
      </c>
      <c r="I10" s="15">
        <f>IF(I2&lt;&gt;0,I4/I2,"")</f>
        <v/>
      </c>
      <c r="J10" s="15">
        <f>IF(J2&lt;&gt;0,J4/J2,"")</f>
        <v/>
      </c>
      <c r="K10" s="15">
        <f>IF(K2&lt;&gt;0,K4/K2,"")</f>
        <v/>
      </c>
      <c r="L10" s="15">
        <f>IF(L2&lt;&gt;0,L4/L2,"")</f>
        <v/>
      </c>
      <c r="M10" s="15">
        <f>IF(M2&lt;&gt;0,M4/M2,"")</f>
        <v/>
      </c>
      <c r="N10" s="15">
        <f>IF(N2&lt;&gt;0,N4/N2,"")</f>
        <v/>
      </c>
      <c r="O10" s="15">
        <f>IF(O2&lt;&gt;0,O4/O2,"")</f>
        <v/>
      </c>
      <c r="P10" s="15">
        <f>IF(P2&lt;&gt;0,P4/P2,"")</f>
        <v/>
      </c>
      <c r="Q10" s="15">
        <f>IF(Q2&lt;&gt;0,Q4/Q2,"")</f>
        <v/>
      </c>
      <c r="R10" s="15">
        <f>IF(R2&lt;&gt;0,R4/R2,"")</f>
        <v/>
      </c>
    </row>
    <row r="11"/>
    <row r="12">
      <c r="A12" s="13" t="inlineStr">
        <is>
          <t>Operating Cash Flow YoY Growth %</t>
        </is>
      </c>
      <c r="F12" s="14">
        <f>IF(AND(B2&lt;&gt;"",B2&lt;&gt;0),F2/B2-1,"")</f>
        <v/>
      </c>
      <c r="G12" s="15">
        <f>IF(AND(C2&lt;&gt;"",C2&lt;&gt;0),G2/C2-1,"")</f>
        <v/>
      </c>
      <c r="H12" s="15">
        <f>IF(AND(D2&lt;&gt;"",D2&lt;&gt;0),H2/D2-1,"")</f>
        <v/>
      </c>
      <c r="I12" s="15">
        <f>IF(AND(E2&lt;&gt;"",E2&lt;&gt;0),I2/E2-1,"")</f>
        <v/>
      </c>
      <c r="J12" s="15">
        <f>IF(AND(F2&lt;&gt;"",F2&lt;&gt;0),J2/F2-1,"")</f>
        <v/>
      </c>
      <c r="K12" s="15">
        <f>IF(AND(G2&lt;&gt;"",G2&lt;&gt;0),K2/G2-1,"")</f>
        <v/>
      </c>
      <c r="L12" s="15">
        <f>IF(AND(H2&lt;&gt;"",H2&lt;&gt;0),L2/H2-1,"")</f>
        <v/>
      </c>
      <c r="M12" s="15">
        <f>IF(AND(I2&lt;&gt;"",I2&lt;&gt;0),M2/I2-1,"")</f>
        <v/>
      </c>
      <c r="N12" s="15">
        <f>IF(AND(J2&lt;&gt;"",J2&lt;&gt;0),N2/J2-1,"")</f>
        <v/>
      </c>
      <c r="O12" s="15">
        <f>IF(AND(K2&lt;&gt;"",K2&lt;&gt;0),O2/K2-1,"")</f>
        <v/>
      </c>
      <c r="P12" s="15">
        <f>IF(AND(L2&lt;&gt;"",L2&lt;&gt;0),P2/L2-1,"")</f>
        <v/>
      </c>
      <c r="Q12" s="15">
        <f>IF(AND(M2&lt;&gt;"",M2&lt;&gt;0),Q2/M2-1,"")</f>
        <v/>
      </c>
      <c r="R12" s="15">
        <f>IF(AND(N2&lt;&gt;"",N2&lt;&gt;0),R2/N2-1,"")</f>
        <v/>
      </c>
    </row>
    <row r="13">
      <c r="A13" s="13" t="inlineStr">
        <is>
          <t>Capital Expenditures YoY Growth %</t>
        </is>
      </c>
      <c r="F13" s="14">
        <f>IF(AND(B3&lt;&gt;"",B3&lt;&gt;0),F3/B3-1,"")</f>
        <v/>
      </c>
      <c r="G13" s="15">
        <f>IF(AND(C3&lt;&gt;"",C3&lt;&gt;0),G3/C3-1,"")</f>
        <v/>
      </c>
      <c r="H13" s="15">
        <f>IF(AND(D3&lt;&gt;"",D3&lt;&gt;0),H3/D3-1,"")</f>
        <v/>
      </c>
      <c r="I13" s="15">
        <f>IF(AND(E3&lt;&gt;"",E3&lt;&gt;0),I3/E3-1,"")</f>
        <v/>
      </c>
      <c r="J13" s="15">
        <f>IF(AND(F3&lt;&gt;"",F3&lt;&gt;0),J3/F3-1,"")</f>
        <v/>
      </c>
      <c r="K13" s="15">
        <f>IF(AND(G3&lt;&gt;"",G3&lt;&gt;0),K3/G3-1,"")</f>
        <v/>
      </c>
      <c r="L13" s="15">
        <f>IF(AND(H3&lt;&gt;"",H3&lt;&gt;0),L3/H3-1,"")</f>
        <v/>
      </c>
      <c r="M13" s="15">
        <f>IF(AND(I3&lt;&gt;"",I3&lt;&gt;0),M3/I3-1,"")</f>
        <v/>
      </c>
      <c r="N13" s="15">
        <f>IF(AND(J3&lt;&gt;"",J3&lt;&gt;0),N3/J3-1,"")</f>
        <v/>
      </c>
      <c r="O13" s="15">
        <f>IF(AND(K3&lt;&gt;"",K3&lt;&gt;0),O3/K3-1,"")</f>
        <v/>
      </c>
      <c r="P13" s="15">
        <f>IF(AND(L3&lt;&gt;"",L3&lt;&gt;0),P3/L3-1,"")</f>
        <v/>
      </c>
      <c r="Q13" s="15">
        <f>IF(AND(M3&lt;&gt;"",M3&lt;&gt;0),Q3/M3-1,"")</f>
        <v/>
      </c>
      <c r="R13" s="15">
        <f>IF(AND(N3&lt;&gt;"",N3&lt;&gt;0),R3/N3-1,"")</f>
        <v/>
      </c>
    </row>
    <row r="14">
      <c r="A14" s="13" t="inlineStr">
        <is>
          <t>Free Cash Flow YoY Growth %</t>
        </is>
      </c>
      <c r="F14" s="14">
        <f>IF(AND(B4&lt;&gt;"",B4&lt;&gt;0),F4/B4-1,"")</f>
        <v/>
      </c>
      <c r="G14" s="15">
        <f>IF(AND(C4&lt;&gt;"",C4&lt;&gt;0),G4/C4-1,"")</f>
        <v/>
      </c>
      <c r="H14" s="15">
        <f>IF(AND(D4&lt;&gt;"",D4&lt;&gt;0),H4/D4-1,"")</f>
        <v/>
      </c>
      <c r="I14" s="15">
        <f>IF(AND(E4&lt;&gt;"",E4&lt;&gt;0),I4/E4-1,"")</f>
        <v/>
      </c>
      <c r="J14" s="15">
        <f>IF(AND(F4&lt;&gt;"",F4&lt;&gt;0),J4/F4-1,"")</f>
        <v/>
      </c>
      <c r="K14" s="15">
        <f>IF(AND(G4&lt;&gt;"",G4&lt;&gt;0),K4/G4-1,"")</f>
        <v/>
      </c>
      <c r="L14" s="15">
        <f>IF(AND(H4&lt;&gt;"",H4&lt;&gt;0),L4/H4-1,"")</f>
        <v/>
      </c>
      <c r="M14" s="15">
        <f>IF(AND(I4&lt;&gt;"",I4&lt;&gt;0),M4/I4-1,"")</f>
        <v/>
      </c>
      <c r="N14" s="15">
        <f>IF(AND(J4&lt;&gt;"",J4&lt;&gt;0),N4/J4-1,"")</f>
        <v/>
      </c>
      <c r="O14" s="15">
        <f>IF(AND(K4&lt;&gt;"",K4&lt;&gt;0),O4/K4-1,"")</f>
        <v/>
      </c>
      <c r="P14" s="15">
        <f>IF(AND(L4&lt;&gt;"",L4&lt;&gt;0),P4/L4-1,"")</f>
        <v/>
      </c>
      <c r="Q14" s="15">
        <f>IF(AND(M4&lt;&gt;"",M4&lt;&gt;0),Q4/M4-1,"")</f>
        <v/>
      </c>
      <c r="R14" s="15">
        <f>IF(AND(N4&lt;&gt;"",N4&lt;&gt;0),R4/N4-1,"")</f>
        <v/>
      </c>
    </row>
    <row r="15">
      <c r="A15" s="13" t="inlineStr">
        <is>
          <t>Depreciation &amp; Amortization YoY Growth %</t>
        </is>
      </c>
      <c r="F15" s="14">
        <f>IF(AND(B5&lt;&gt;"",B5&lt;&gt;0),F5/B5-1,"")</f>
        <v/>
      </c>
      <c r="G15" s="15">
        <f>IF(AND(C5&lt;&gt;"",C5&lt;&gt;0),G5/C5-1,"")</f>
        <v/>
      </c>
      <c r="H15" s="15">
        <f>IF(AND(D5&lt;&gt;"",D5&lt;&gt;0),H5/D5-1,"")</f>
        <v/>
      </c>
      <c r="I15" s="15">
        <f>IF(AND(E5&lt;&gt;"",E5&lt;&gt;0),I5/E5-1,"")</f>
        <v/>
      </c>
      <c r="J15" s="15">
        <f>IF(AND(F5&lt;&gt;"",F5&lt;&gt;0),J5/F5-1,"")</f>
        <v/>
      </c>
      <c r="K15" s="15">
        <f>IF(AND(G5&lt;&gt;"",G5&lt;&gt;0),K5/G5-1,"")</f>
        <v/>
      </c>
      <c r="L15" s="15">
        <f>IF(AND(H5&lt;&gt;"",H5&lt;&gt;0),L5/H5-1,"")</f>
        <v/>
      </c>
      <c r="M15" s="15">
        <f>IF(AND(I5&lt;&gt;"",I5&lt;&gt;0),M5/I5-1,"")</f>
        <v/>
      </c>
      <c r="N15" s="15">
        <f>IF(AND(J5&lt;&gt;"",J5&lt;&gt;0),N5/J5-1,"")</f>
        <v/>
      </c>
      <c r="O15" s="15">
        <f>IF(AND(K5&lt;&gt;"",K5&lt;&gt;0),O5/K5-1,"")</f>
        <v/>
      </c>
      <c r="P15" s="15">
        <f>IF(AND(L5&lt;&gt;"",L5&lt;&gt;0),P5/L5-1,"")</f>
        <v/>
      </c>
      <c r="Q15" s="15">
        <f>IF(AND(M5&lt;&gt;"",M5&lt;&gt;0),Q5/M5-1,"")</f>
        <v/>
      </c>
      <c r="R15" s="15">
        <f>IF(AND(N5&lt;&gt;"",N5&lt;&gt;0),R5/N5-1,"")</f>
        <v/>
      </c>
    </row>
    <row r="16">
      <c r="A16" s="13" t="inlineStr">
        <is>
          <t>Share Repurchases YoY Growth %</t>
        </is>
      </c>
      <c r="F16" s="14">
        <f>IF(AND(B6&lt;&gt;"",B6&lt;&gt;0),F6/B6-1,"")</f>
        <v/>
      </c>
      <c r="G16" s="15">
        <f>IF(AND(C6&lt;&gt;"",C6&lt;&gt;0),G6/C6-1,"")</f>
        <v/>
      </c>
      <c r="H16" s="15">
        <f>IF(AND(D6&lt;&gt;"",D6&lt;&gt;0),H6/D6-1,"")</f>
        <v/>
      </c>
      <c r="I16" s="15">
        <f>IF(AND(E6&lt;&gt;"",E6&lt;&gt;0),I6/E6-1,"")</f>
        <v/>
      </c>
      <c r="J16" s="15">
        <f>IF(AND(F6&lt;&gt;"",F6&lt;&gt;0),J6/F6-1,"")</f>
        <v/>
      </c>
      <c r="K16" s="15">
        <f>IF(AND(G6&lt;&gt;"",G6&lt;&gt;0),K6/G6-1,"")</f>
        <v/>
      </c>
      <c r="L16" s="15">
        <f>IF(AND(H6&lt;&gt;"",H6&lt;&gt;0),L6/H6-1,"")</f>
        <v/>
      </c>
      <c r="M16" s="15">
        <f>IF(AND(I6&lt;&gt;"",I6&lt;&gt;0),M6/I6-1,"")</f>
        <v/>
      </c>
      <c r="N16" s="15">
        <f>IF(AND(J6&lt;&gt;"",J6&lt;&gt;0),N6/J6-1,"")</f>
        <v/>
      </c>
      <c r="O16" s="15">
        <f>IF(AND(K6&lt;&gt;"",K6&lt;&gt;0),O6/K6-1,"")</f>
        <v/>
      </c>
      <c r="P16" s="15">
        <f>IF(AND(L6&lt;&gt;"",L6&lt;&gt;0),P6/L6-1,"")</f>
        <v/>
      </c>
      <c r="Q16" s="15">
        <f>IF(AND(M6&lt;&gt;"",M6&lt;&gt;0),Q6/M6-1,"")</f>
        <v/>
      </c>
      <c r="R16" s="15">
        <f>IF(AND(N6&lt;&gt;"",N6&lt;&gt;0),R6/N6-1,"")</f>
        <v/>
      </c>
    </row>
    <row r="17">
      <c r="A17" s="13" t="inlineStr">
        <is>
          <t>Dividends Paid YoY Growth %</t>
        </is>
      </c>
      <c r="F17" s="14">
        <f>IF(AND(B7&lt;&gt;"",B7&lt;&gt;0),F7/B7-1,"")</f>
        <v/>
      </c>
      <c r="G17" s="15">
        <f>IF(AND(C7&lt;&gt;"",C7&lt;&gt;0),G7/C7-1,"")</f>
        <v/>
      </c>
      <c r="H17" s="15">
        <f>IF(AND(D7&lt;&gt;"",D7&lt;&gt;0),H7/D7-1,"")</f>
        <v/>
      </c>
      <c r="I17" s="15">
        <f>IF(AND(E7&lt;&gt;"",E7&lt;&gt;0),I7/E7-1,"")</f>
        <v/>
      </c>
      <c r="J17" s="15">
        <f>IF(AND(F7&lt;&gt;"",F7&lt;&gt;0),J7/F7-1,"")</f>
        <v/>
      </c>
      <c r="K17" s="15">
        <f>IF(AND(G7&lt;&gt;"",G7&lt;&gt;0),K7/G7-1,"")</f>
        <v/>
      </c>
      <c r="L17" s="15">
        <f>IF(AND(H7&lt;&gt;"",H7&lt;&gt;0),L7/H7-1,"")</f>
        <v/>
      </c>
      <c r="M17" s="15">
        <f>IF(AND(I7&lt;&gt;"",I7&lt;&gt;0),M7/I7-1,"")</f>
        <v/>
      </c>
      <c r="N17" s="15">
        <f>IF(AND(J7&lt;&gt;"",J7&lt;&gt;0),N7/J7-1,"")</f>
        <v/>
      </c>
      <c r="O17" s="15">
        <f>IF(AND(K7&lt;&gt;"",K7&lt;&gt;0),O7/K7-1,"")</f>
        <v/>
      </c>
      <c r="P17" s="15">
        <f>IF(AND(L7&lt;&gt;"",L7&lt;&gt;0),P7/L7-1,"")</f>
        <v/>
      </c>
      <c r="Q17" s="15">
        <f>IF(AND(M7&lt;&gt;"",M7&lt;&gt;0),Q7/M7-1,"")</f>
        <v/>
      </c>
      <c r="R17" s="15">
        <f>IF(AND(N7&lt;&gt;"",N7&lt;&gt;0),R7/N7-1,"")</f>
        <v/>
      </c>
    </row>
    <row r="18">
      <c r="A18" s="13" t="inlineStr">
        <is>
          <t>Net Cash from Investing YoY Growth %</t>
        </is>
      </c>
      <c r="F18" s="14">
        <f>IF(AND(B8&lt;&gt;"",B8&lt;&gt;0),F8/B8-1,"")</f>
        <v/>
      </c>
      <c r="G18" s="15">
        <f>IF(AND(C8&lt;&gt;"",C8&lt;&gt;0),G8/C8-1,"")</f>
        <v/>
      </c>
      <c r="H18" s="15">
        <f>IF(AND(D8&lt;&gt;"",D8&lt;&gt;0),H8/D8-1,"")</f>
        <v/>
      </c>
      <c r="I18" s="15">
        <f>IF(AND(E8&lt;&gt;"",E8&lt;&gt;0),I8/E8-1,"")</f>
        <v/>
      </c>
      <c r="J18" s="15">
        <f>IF(AND(F8&lt;&gt;"",F8&lt;&gt;0),J8/F8-1,"")</f>
        <v/>
      </c>
      <c r="K18" s="15">
        <f>IF(AND(G8&lt;&gt;"",G8&lt;&gt;0),K8/G8-1,"")</f>
        <v/>
      </c>
      <c r="L18" s="15">
        <f>IF(AND(H8&lt;&gt;"",H8&lt;&gt;0),L8/H8-1,"")</f>
        <v/>
      </c>
      <c r="M18" s="15">
        <f>IF(AND(I8&lt;&gt;"",I8&lt;&gt;0),M8/I8-1,"")</f>
        <v/>
      </c>
      <c r="N18" s="15">
        <f>IF(AND(J8&lt;&gt;"",J8&lt;&gt;0),N8/J8-1,"")</f>
        <v/>
      </c>
      <c r="O18" s="15">
        <f>IF(AND(K8&lt;&gt;"",K8&lt;&gt;0),O8/K8-1,"")</f>
        <v/>
      </c>
      <c r="P18" s="15">
        <f>IF(AND(L8&lt;&gt;"",L8&lt;&gt;0),P8/L8-1,"")</f>
        <v/>
      </c>
      <c r="Q18" s="15">
        <f>IF(AND(M8&lt;&gt;"",M8&lt;&gt;0),Q8/M8-1,"")</f>
        <v/>
      </c>
      <c r="R18" s="15">
        <f>IF(AND(N8&lt;&gt;"",N8&lt;&gt;0),R8/N8-1,"")</f>
        <v/>
      </c>
    </row>
    <row r="19">
      <c r="A19" s="13" t="inlineStr">
        <is>
          <t>Net Cash from Financing YoY Growth %</t>
        </is>
      </c>
      <c r="F19" s="14">
        <f>IF(AND(B9&lt;&gt;"",B9&lt;&gt;0),F9/B9-1,"")</f>
        <v/>
      </c>
      <c r="G19" s="15">
        <f>IF(AND(C9&lt;&gt;"",C9&lt;&gt;0),G9/C9-1,"")</f>
        <v/>
      </c>
      <c r="H19" s="15">
        <f>IF(AND(D9&lt;&gt;"",D9&lt;&gt;0),H9/D9-1,"")</f>
        <v/>
      </c>
      <c r="I19" s="15">
        <f>IF(AND(E9&lt;&gt;"",E9&lt;&gt;0),I9/E9-1,"")</f>
        <v/>
      </c>
      <c r="J19" s="15">
        <f>IF(AND(F9&lt;&gt;"",F9&lt;&gt;0),J9/F9-1,"")</f>
        <v/>
      </c>
      <c r="K19" s="15">
        <f>IF(AND(G9&lt;&gt;"",G9&lt;&gt;0),K9/G9-1,"")</f>
        <v/>
      </c>
      <c r="L19" s="15">
        <f>IF(AND(H9&lt;&gt;"",H9&lt;&gt;0),L9/H9-1,"")</f>
        <v/>
      </c>
      <c r="M19" s="15">
        <f>IF(AND(I9&lt;&gt;"",I9&lt;&gt;0),M9/I9-1,"")</f>
        <v/>
      </c>
      <c r="N19" s="15">
        <f>IF(AND(J9&lt;&gt;"",J9&lt;&gt;0),N9/J9-1,"")</f>
        <v/>
      </c>
      <c r="O19" s="15">
        <f>IF(AND(K9&lt;&gt;"",K9&lt;&gt;0),O9/K9-1,"")</f>
        <v/>
      </c>
      <c r="P19" s="15">
        <f>IF(AND(L9&lt;&gt;"",L9&lt;&gt;0),P9/L9-1,"")</f>
        <v/>
      </c>
      <c r="Q19" s="15">
        <f>IF(AND(M9&lt;&gt;"",M9&lt;&gt;0),Q9/M9-1,"")</f>
        <v/>
      </c>
      <c r="R19" s="15">
        <f>IF(AND(N9&lt;&gt;"",N9&lt;&gt;0),R9/N9-1,"")</f>
        <v/>
      </c>
    </row>
  </sheetData>
  <conditionalFormatting sqref="F12:R12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F13:R13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F14:R14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F15:R15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F16:R16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F17:R17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F18:R18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F19:R19">
    <cfRule type="cellIs" priority="15" operator="greaterThan" dxfId="0">
      <formula>0</formula>
    </cfRule>
    <cfRule type="cellIs" priority="16" operator="lessThan" dxfId="1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6" t="inlineStr">
        <is>
          <t>DCF Valuation</t>
        </is>
      </c>
    </row>
    <row r="2"/>
    <row r="3">
      <c r="A3" s="2" t="inlineStr">
        <is>
          <t>Assumption</t>
        </is>
      </c>
      <c r="B3" s="2" t="inlineStr">
        <is>
          <t>Value</t>
        </is>
      </c>
    </row>
    <row r="4">
      <c r="A4" s="3" t="inlineStr">
        <is>
          <t>WACC</t>
        </is>
      </c>
      <c r="B4" s="17" t="n">
        <v>0.1011</v>
      </c>
    </row>
    <row r="5">
      <c r="A5" s="3" t="inlineStr">
        <is>
          <t>Terminal Growth Rate</t>
        </is>
      </c>
      <c r="B5" s="17" t="n">
        <v>0.025</v>
      </c>
    </row>
    <row r="6">
      <c r="A6" s="3" t="inlineStr">
        <is>
          <t>Risk-Free Rate</t>
        </is>
      </c>
      <c r="B6" s="17" t="n">
        <v>0.04019999999999999</v>
      </c>
    </row>
    <row r="7">
      <c r="A7" s="3" t="inlineStr">
        <is>
          <t>Equity Risk Premium</t>
        </is>
      </c>
      <c r="B7" s="17" t="n">
        <v>0.055</v>
      </c>
    </row>
    <row r="8"/>
    <row r="9">
      <c r="A9" s="18" t="inlineStr">
        <is>
          <t>Valuation Output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4" customWidth="1" min="2" max="2"/>
    <col width="17" customWidth="1" min="3" max="3"/>
    <col width="17" customWidth="1" min="4" max="4"/>
  </cols>
  <sheetData>
    <row r="1">
      <c r="A1" s="2" t="inlineStr">
        <is>
          <t>Ticker</t>
        </is>
      </c>
      <c r="B1" s="2" t="inlineStr">
        <is>
          <t>Trailing P/E</t>
        </is>
      </c>
      <c r="C1" s="2" t="inlineStr">
        <is>
          <t>EV/EBITDA</t>
        </is>
      </c>
      <c r="D1" s="2" t="inlineStr">
        <is>
          <t>Price/Sales</t>
        </is>
      </c>
    </row>
    <row r="2">
      <c r="A2" s="19" t="inlineStr">
        <is>
          <t>AAPL</t>
        </is>
      </c>
      <c r="B2" s="20" t="n">
        <v>33.440506</v>
      </c>
      <c r="C2" s="20" t="n">
        <v>25.52</v>
      </c>
    </row>
    <row r="3">
      <c r="A3" s="21" t="inlineStr">
        <is>
          <t>MSFT</t>
        </is>
      </c>
      <c r="B3" s="7" t="n">
        <v>24.576971</v>
      </c>
      <c r="C3" s="7" t="n">
        <v>16.833</v>
      </c>
      <c r="D3" s="7" t="n">
        <v>9.5562725</v>
      </c>
    </row>
    <row r="4">
      <c r="A4" s="21" t="inlineStr">
        <is>
          <t>GOOG</t>
        </is>
      </c>
      <c r="B4" s="7" t="n">
        <v>28.809433</v>
      </c>
      <c r="C4" s="7" t="n">
        <v>24.688</v>
      </c>
      <c r="D4" s="7" t="n">
        <v>9.352116000000001</v>
      </c>
    </row>
    <row r="5">
      <c r="A5" s="21" t="inlineStr">
        <is>
          <t>AMZN</t>
        </is>
      </c>
      <c r="B5" s="7" t="n">
        <v>29.329609</v>
      </c>
      <c r="C5" s="7" t="n">
        <v>15.85</v>
      </c>
      <c r="D5" s="7" t="n">
        <v>3.1444523</v>
      </c>
    </row>
    <row r="6">
      <c r="A6" s="21" t="inlineStr">
        <is>
          <t>META</t>
        </is>
      </c>
      <c r="B6" s="7" t="n">
        <v>27.629156</v>
      </c>
      <c r="C6" s="7" t="n">
        <v>16.126</v>
      </c>
      <c r="D6" s="7" t="n">
        <v>8.158628999999999</v>
      </c>
    </row>
    <row r="7"/>
    <row r="8">
      <c r="A8" s="22" t="inlineStr">
        <is>
          <t>Median</t>
        </is>
      </c>
      <c r="C8" s="23">
        <f>MEDIAN(C3:C6)</f>
        <v/>
      </c>
      <c r="D8" s="23">
        <f>MEDIAN(D3:D6)</f>
        <v/>
      </c>
    </row>
    <row r="9">
      <c r="A9" s="22" t="inlineStr">
        <is>
          <t>Mean</t>
        </is>
      </c>
      <c r="C9" s="23">
        <f>AVERAGE(C3:C6)</f>
        <v/>
      </c>
      <c r="D9" s="23">
        <f>AVERAGE(D3:D6)</f>
        <v/>
      </c>
    </row>
    <row r="10"/>
    <row r="11">
      <c r="A11" s="24" t="inlineStr">
        <is>
          <t>Implied Value</t>
        </is>
      </c>
      <c r="C11" s="25" t="inlineStr">
        <is>
          <t>--</t>
        </is>
      </c>
      <c r="D11" s="25" t="inlineStr">
        <is>
          <t>--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16" t="inlineStr">
        <is>
          <t>Projection Assumptions</t>
        </is>
      </c>
    </row>
    <row r="2">
      <c r="A2" s="26" t="inlineStr">
        <is>
          <t>Yellow cells are analyst inputs</t>
        </is>
      </c>
    </row>
    <row r="3"/>
    <row r="4">
      <c r="A4" s="2" t="inlineStr">
        <is>
          <t>Assumption</t>
        </is>
      </c>
      <c r="B4" s="2" t="inlineStr">
        <is>
          <t>2026Q1</t>
        </is>
      </c>
      <c r="C4" s="2" t="inlineStr">
        <is>
          <t>2026Q2</t>
        </is>
      </c>
      <c r="D4" s="2" t="inlineStr">
        <is>
          <t>2026Q3</t>
        </is>
      </c>
      <c r="E4" s="2" t="inlineStr">
        <is>
          <t>2026Q4</t>
        </is>
      </c>
      <c r="F4" s="2" t="inlineStr">
        <is>
          <t>2027Q1</t>
        </is>
      </c>
      <c r="G4" s="2" t="inlineStr">
        <is>
          <t>2027Q2</t>
        </is>
      </c>
      <c r="H4" s="2" t="inlineStr">
        <is>
          <t>2027Q3</t>
        </is>
      </c>
      <c r="I4" s="2" t="inlineStr">
        <is>
          <t>2027Q4</t>
        </is>
      </c>
      <c r="J4" s="2" t="inlineStr">
        <is>
          <t>2028Q1</t>
        </is>
      </c>
      <c r="K4" s="2" t="inlineStr">
        <is>
          <t>2028Q2</t>
        </is>
      </c>
      <c r="L4" s="2" t="inlineStr">
        <is>
          <t>2028Q3</t>
        </is>
      </c>
      <c r="M4" s="2" t="inlineStr">
        <is>
          <t>2028Q4</t>
        </is>
      </c>
    </row>
    <row r="5">
      <c r="A5" s="3" t="inlineStr">
        <is>
          <t>CapEx % of Revenue</t>
        </is>
      </c>
      <c r="B5" s="17" t="n">
        <v>0.02788688228254584</v>
      </c>
      <c r="C5" s="17" t="n">
        <v>0.02788688228039815</v>
      </c>
      <c r="D5" s="17" t="n">
        <v>0.0278868822874887</v>
      </c>
      <c r="E5" s="17" t="n">
        <v>0.02788688228238517</v>
      </c>
      <c r="F5" s="17" t="n">
        <v>0.02788688228641885</v>
      </c>
      <c r="G5" s="17" t="n">
        <v>0.02788688228266771</v>
      </c>
      <c r="H5" s="17" t="n">
        <v>0.02788688228656594</v>
      </c>
      <c r="I5" s="17" t="n">
        <v>0.02788688228667835</v>
      </c>
      <c r="J5" s="17" t="n">
        <v>0.02788688228093284</v>
      </c>
      <c r="K5" s="17" t="n">
        <v>0.02788688228679049</v>
      </c>
      <c r="L5" s="17" t="n">
        <v>0.02788688228334102</v>
      </c>
      <c r="M5" s="17" t="n">
        <v>0.02788688228652725</v>
      </c>
    </row>
    <row r="6">
      <c r="A6" s="3" t="inlineStr">
        <is>
          <t>Tax Rate</t>
        </is>
      </c>
      <c r="B6" s="17" t="n">
        <v>0.16</v>
      </c>
    </row>
    <row r="7">
      <c r="A7" s="3" t="inlineStr">
        <is>
          <t>Buyback Rate (QoQ)</t>
        </is>
      </c>
      <c r="B7" s="17" t="n">
        <v>-0.002</v>
      </c>
    </row>
    <row r="8"/>
    <row r="9"/>
    <row r="10">
      <c r="A10" s="18" t="inlineStr">
        <is>
          <t>Projected Financials</t>
        </is>
      </c>
    </row>
    <row r="11">
      <c r="A11" s="2" t="inlineStr"/>
      <c r="B11" s="2" t="inlineStr">
        <is>
          <t>2026Q1</t>
        </is>
      </c>
      <c r="C11" s="2" t="inlineStr">
        <is>
          <t>2026Q2</t>
        </is>
      </c>
      <c r="D11" s="2" t="inlineStr">
        <is>
          <t>2026Q3</t>
        </is>
      </c>
      <c r="E11" s="2" t="inlineStr">
        <is>
          <t>2026Q4</t>
        </is>
      </c>
      <c r="F11" s="2" t="inlineStr">
        <is>
          <t>2027Q1</t>
        </is>
      </c>
      <c r="G11" s="2" t="inlineStr">
        <is>
          <t>2027Q2</t>
        </is>
      </c>
      <c r="H11" s="2" t="inlineStr">
        <is>
          <t>2027Q3</t>
        </is>
      </c>
      <c r="I11" s="2" t="inlineStr">
        <is>
          <t>2027Q4</t>
        </is>
      </c>
      <c r="J11" s="2" t="inlineStr">
        <is>
          <t>2028Q1</t>
        </is>
      </c>
      <c r="K11" s="2" t="inlineStr">
        <is>
          <t>2028Q2</t>
        </is>
      </c>
      <c r="L11" s="2" t="inlineStr">
        <is>
          <t>2028Q3</t>
        </is>
      </c>
      <c r="M11" s="2" t="inlineStr">
        <is>
          <t>2028Q4</t>
        </is>
      </c>
    </row>
    <row r="12">
      <c r="A12" s="3" t="inlineStr">
        <is>
          <t>Revenue</t>
        </is>
      </c>
      <c r="B12" s="10" t="n">
        <v>108475235358</v>
      </c>
      <c r="C12" s="10" t="n">
        <v>105453284861</v>
      </c>
      <c r="D12" s="10" t="n">
        <v>113501780994</v>
      </c>
      <c r="E12" s="10" t="n">
        <v>157563274930</v>
      </c>
      <c r="F12" s="10" t="n">
        <v>115313062535</v>
      </c>
      <c r="G12" s="10" t="n">
        <v>112831592937</v>
      </c>
      <c r="H12" s="10" t="n">
        <v>122129987856</v>
      </c>
      <c r="I12" s="10" t="n">
        <v>170370077772</v>
      </c>
      <c r="J12" s="10" t="n">
        <v>120731182105</v>
      </c>
      <c r="K12" s="10" t="n">
        <v>118562125590</v>
      </c>
      <c r="L12" s="10" t="n">
        <v>128733222435</v>
      </c>
      <c r="M12" s="10" t="n">
        <v>180062260973</v>
      </c>
    </row>
    <row r="13">
      <c r="A13" s="3" t="inlineStr">
        <is>
          <t>Gross Profit</t>
        </is>
      </c>
      <c r="B13" s="10" t="n">
        <v>52241673348</v>
      </c>
      <c r="C13" s="10" t="n">
        <v>51071025858</v>
      </c>
      <c r="D13" s="10" t="n">
        <v>55002963070</v>
      </c>
      <c r="E13" s="10" t="n">
        <v>76229112411</v>
      </c>
      <c r="F13" s="10" t="n">
        <v>55650083979</v>
      </c>
      <c r="G13" s="10" t="n">
        <v>54305845681</v>
      </c>
      <c r="H13" s="10" t="n">
        <v>58622394171</v>
      </c>
      <c r="I13" s="10" t="n">
        <v>81590230245</v>
      </c>
      <c r="J13" s="10" t="n">
        <v>57709505046</v>
      </c>
      <c r="K13" s="10" t="n">
        <v>56565990119</v>
      </c>
      <c r="L13" s="10" t="n">
        <v>61328507168</v>
      </c>
      <c r="M13" s="10" t="n">
        <v>85673623771</v>
      </c>
    </row>
    <row r="14">
      <c r="A14" s="3" t="inlineStr">
        <is>
          <t>Operating Income</t>
        </is>
      </c>
      <c r="B14" s="10" t="n">
        <v>-21228603560</v>
      </c>
      <c r="C14" s="10" t="n">
        <v>-23410629239</v>
      </c>
      <c r="D14" s="10" t="n">
        <v>-27739835275</v>
      </c>
      <c r="E14" s="10" t="n">
        <v>-41502166617</v>
      </c>
      <c r="F14" s="10" t="n">
        <v>-32241532285</v>
      </c>
      <c r="G14" s="10" t="n">
        <v>-33104789368</v>
      </c>
      <c r="H14" s="10" t="n">
        <v>-37261859295</v>
      </c>
      <c r="I14" s="10" t="n">
        <v>-53666574498</v>
      </c>
      <c r="J14" s="10" t="n">
        <v>-39056537411</v>
      </c>
      <c r="K14" s="10" t="n">
        <v>-39196638720</v>
      </c>
      <c r="L14" s="10" t="n">
        <v>-43344475994</v>
      </c>
      <c r="M14" s="10" t="n">
        <v>-61563287027</v>
      </c>
    </row>
    <row r="15">
      <c r="A15" s="3" t="inlineStr">
        <is>
          <t>Capital Expenditures</t>
        </is>
      </c>
      <c r="B15" s="10" t="n">
        <v>-3025036119</v>
      </c>
      <c r="C15" s="10" t="n">
        <v>-2940763341</v>
      </c>
      <c r="D15" s="10" t="n">
        <v>-3165210806</v>
      </c>
      <c r="E15" s="10" t="n">
        <v>-4393948500</v>
      </c>
      <c r="F15" s="10" t="n">
        <v>-3215721801</v>
      </c>
      <c r="G15" s="10" t="n">
        <v>-3146521350</v>
      </c>
      <c r="H15" s="10" t="n">
        <v>-3405824595</v>
      </c>
      <c r="I15" s="10" t="n">
        <v>-4751090304</v>
      </c>
      <c r="J15" s="10" t="n">
        <v>-3366816263</v>
      </c>
      <c r="K15" s="10" t="n">
        <v>-3306328040</v>
      </c>
      <c r="L15" s="10" t="n">
        <v>-3589968220</v>
      </c>
      <c r="M15" s="10" t="n">
        <v>-5021375076</v>
      </c>
    </row>
    <row r="16">
      <c r="A16" s="3" t="inlineStr">
        <is>
          <t>D&amp;A</t>
        </is>
      </c>
      <c r="B16" s="10" t="n">
        <v>3006789779</v>
      </c>
      <c r="C16" s="10" t="n">
        <v>2923025316</v>
      </c>
      <c r="D16" s="10" t="n">
        <v>3146118963</v>
      </c>
      <c r="E16" s="10" t="n">
        <v>4367445187</v>
      </c>
      <c r="F16" s="10" t="n">
        <v>3196325287</v>
      </c>
      <c r="G16" s="10" t="n">
        <v>3127542238</v>
      </c>
      <c r="H16" s="10" t="n">
        <v>3385281423</v>
      </c>
      <c r="I16" s="10" t="n">
        <v>4722432791</v>
      </c>
      <c r="J16" s="10" t="n">
        <v>3346508382</v>
      </c>
      <c r="K16" s="10" t="n">
        <v>3286385009</v>
      </c>
      <c r="L16" s="10" t="n">
        <v>3568314336</v>
      </c>
      <c r="M16" s="10" t="n">
        <v>4991087266</v>
      </c>
    </row>
    <row r="17">
      <c r="A17" s="3" t="inlineStr">
        <is>
          <t>Gross Margin %</t>
        </is>
      </c>
      <c r="B17" s="15" t="n">
        <v>0.4816</v>
      </c>
      <c r="C17" s="15" t="n">
        <v>0.4843</v>
      </c>
      <c r="D17" s="15" t="n">
        <v>0.4846</v>
      </c>
      <c r="E17" s="15" t="n">
        <v>0.4838</v>
      </c>
      <c r="F17" s="15" t="n">
        <v>0.4826</v>
      </c>
      <c r="G17" s="15" t="n">
        <v>0.4813</v>
      </c>
      <c r="H17" s="15" t="n">
        <v>0.48</v>
      </c>
      <c r="I17" s="15" t="n">
        <v>0.4789</v>
      </c>
      <c r="J17" s="15" t="n">
        <v>0.478</v>
      </c>
      <c r="K17" s="15" t="n">
        <v>0.4771</v>
      </c>
      <c r="L17" s="15" t="n">
        <v>0.4764</v>
      </c>
      <c r="M17" s="15" t="n">
        <v>0.4758</v>
      </c>
    </row>
    <row r="18">
      <c r="A18" s="3" t="inlineStr">
        <is>
          <t>Operating Margin %</t>
        </is>
      </c>
      <c r="B18" s="15" t="n">
        <v>-0.1957</v>
      </c>
      <c r="C18" s="15" t="n">
        <v>-0.222</v>
      </c>
      <c r="D18" s="15" t="n">
        <v>-0.2444</v>
      </c>
      <c r="E18" s="15" t="n">
        <v>-0.2634</v>
      </c>
      <c r="F18" s="15" t="n">
        <v>-0.2796</v>
      </c>
      <c r="G18" s="15" t="n">
        <v>-0.2934</v>
      </c>
      <c r="H18" s="15" t="n">
        <v>-0.3051</v>
      </c>
      <c r="I18" s="15" t="n">
        <v>-0.315</v>
      </c>
      <c r="J18" s="15" t="n">
        <v>-0.3235</v>
      </c>
      <c r="K18" s="15" t="n">
        <v>-0.3306</v>
      </c>
      <c r="L18" s="15" t="n">
        <v>-0.3367</v>
      </c>
      <c r="M18" s="15" t="n">
        <v>-0.3419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2026-02-28T21:30:34Z</dcterms:created>
  <dcterms:modified xmlns:dcterms="http://purl.org/dc/terms/" xmlns:xsi="http://www.w3.org/2001/XMLSchema-instance" xsi:type="dcterms:W3CDTF">2026-02-28T21:30:34Z</dcterms:modified>
</cp:coreProperties>
</file>